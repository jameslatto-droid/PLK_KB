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C:\Users\105059367\Box Sync\R166 WBS - P6\R166B - Composite Pressure Armour Development\R166.B.5.B - Project Administration and Support\"/>
    </mc:Choice>
  </mc:AlternateContent>
  <xr:revisionPtr revIDLastSave="9" documentId="80F868755429B44E81C5D35EC06093C59BFB037F" xr6:coauthVersionLast="17" xr6:coauthVersionMax="17" xr10:uidLastSave="{6357F712-FA60-9342-9A1B-ECD905A71815}"/>
  <bookViews>
    <workbookView xWindow="0" yWindow="0" windowWidth="19200" windowHeight="8115" xr2:uid="{00000000-000D-0000-FFFF-FFFF00000000}"/>
  </bookViews>
  <sheets>
    <sheet name="2017OP + LE" sheetId="2" r:id="rId1"/>
    <sheet name="FX" sheetId="5" r:id="rId2"/>
  </sheets>
  <externalReferences>
    <externalReference r:id="rId3"/>
    <externalReference r:id="rId4"/>
  </externalReference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13" i="2" l="1"/>
  <c r="BA13" i="2"/>
  <c r="AZ13" i="2"/>
  <c r="BC13" i="2"/>
  <c r="AW13" i="2"/>
  <c r="AV13" i="2"/>
  <c r="AP13" i="2"/>
  <c r="AS13" i="2"/>
  <c r="AK13" i="2"/>
  <c r="AN13" i="2"/>
  <c r="AF13" i="2"/>
  <c r="AI13" i="2"/>
  <c r="AA13" i="2"/>
  <c r="AD13" i="2"/>
  <c r="V13" i="2"/>
  <c r="Y13" i="2"/>
  <c r="T13" i="2"/>
  <c r="O13" i="2"/>
  <c r="J13" i="2"/>
  <c r="AU13" i="2"/>
  <c r="AX13" i="2"/>
  <c r="AP32" i="2"/>
  <c r="AP31" i="2"/>
  <c r="AP30" i="2"/>
  <c r="AP29" i="2"/>
  <c r="AP28" i="2"/>
  <c r="AP27" i="2"/>
  <c r="AK32" i="2"/>
  <c r="AK31" i="2"/>
  <c r="AK30" i="2"/>
  <c r="AK29" i="2"/>
  <c r="AK28" i="2"/>
  <c r="AK27" i="2"/>
  <c r="AP24" i="2"/>
  <c r="AP23" i="2"/>
  <c r="AP22" i="2"/>
  <c r="AP21" i="2"/>
  <c r="AP20" i="2"/>
  <c r="AP19" i="2"/>
  <c r="AP18" i="2"/>
  <c r="AP17" i="2"/>
  <c r="AP16" i="2"/>
  <c r="AP15" i="2"/>
  <c r="AP14" i="2"/>
  <c r="AP12" i="2"/>
  <c r="AP11" i="2"/>
  <c r="AP10" i="2"/>
  <c r="AP9" i="2"/>
  <c r="AP8" i="2"/>
  <c r="AP7" i="2"/>
  <c r="AP6" i="2"/>
  <c r="AK24" i="2"/>
  <c r="AK23" i="2"/>
  <c r="AK22" i="2"/>
  <c r="AK21" i="2"/>
  <c r="AK20" i="2"/>
  <c r="AK19" i="2"/>
  <c r="AK18" i="2"/>
  <c r="AK17" i="2"/>
  <c r="AK16" i="2"/>
  <c r="AK15" i="2"/>
  <c r="AK14" i="2"/>
  <c r="AK12" i="2"/>
  <c r="AK11" i="2"/>
  <c r="AK10" i="2"/>
  <c r="AK9" i="2"/>
  <c r="AK8" i="2"/>
  <c r="AK7" i="2"/>
  <c r="AK6" i="2"/>
  <c r="AF32" i="2"/>
  <c r="AF31" i="2"/>
  <c r="AF30" i="2"/>
  <c r="AF29" i="2"/>
  <c r="AF28" i="2"/>
  <c r="AF27" i="2"/>
  <c r="AF24" i="2"/>
  <c r="AF23" i="2"/>
  <c r="AF22" i="2"/>
  <c r="AF21" i="2"/>
  <c r="AF20" i="2"/>
  <c r="AF19" i="2"/>
  <c r="AF18" i="2"/>
  <c r="AF17" i="2"/>
  <c r="AF16" i="2"/>
  <c r="AF15" i="2"/>
  <c r="AF14" i="2"/>
  <c r="AF12" i="2"/>
  <c r="AF11" i="2"/>
  <c r="AF10" i="2"/>
  <c r="AF9" i="2"/>
  <c r="AF8" i="2"/>
  <c r="AF7" i="2"/>
  <c r="AF6" i="2"/>
  <c r="AA32" i="2"/>
  <c r="AA31" i="2"/>
  <c r="AA30" i="2"/>
  <c r="AA29" i="2"/>
  <c r="AA28" i="2"/>
  <c r="AA27" i="2"/>
  <c r="AA24" i="2"/>
  <c r="AA23" i="2"/>
  <c r="AA22" i="2"/>
  <c r="AA21" i="2"/>
  <c r="AA20" i="2"/>
  <c r="AA19" i="2"/>
  <c r="AA18" i="2"/>
  <c r="AA17" i="2"/>
  <c r="AA16" i="2"/>
  <c r="AA15" i="2"/>
  <c r="AA14" i="2"/>
  <c r="AA12" i="2"/>
  <c r="AA11" i="2"/>
  <c r="AA10" i="2"/>
  <c r="AA9" i="2"/>
  <c r="AA8" i="2"/>
  <c r="AA7" i="2"/>
  <c r="AA6" i="2"/>
  <c r="V6" i="2"/>
  <c r="V7" i="2"/>
  <c r="V8" i="2"/>
  <c r="V9" i="2"/>
  <c r="V10" i="2"/>
  <c r="V11" i="2"/>
  <c r="V12" i="2"/>
  <c r="V14" i="2"/>
  <c r="V15" i="2"/>
  <c r="V17" i="2"/>
  <c r="V19" i="2"/>
  <c r="V20" i="2"/>
  <c r="V21" i="2"/>
  <c r="V22" i="2"/>
  <c r="V23" i="2"/>
  <c r="V24" i="2"/>
  <c r="G47" i="5"/>
  <c r="G46" i="5"/>
  <c r="G37" i="5"/>
  <c r="G36" i="5"/>
  <c r="G27" i="5"/>
  <c r="G26" i="5"/>
  <c r="G17" i="5"/>
  <c r="G16" i="5"/>
  <c r="J7" i="5"/>
  <c r="I6" i="5"/>
  <c r="J6" i="5"/>
  <c r="J5" i="5"/>
  <c r="I4" i="5"/>
  <c r="J4" i="5"/>
  <c r="BB32" i="2"/>
  <c r="BA32" i="2"/>
  <c r="AZ32" i="2"/>
  <c r="BC32" i="2"/>
  <c r="BB31" i="2"/>
  <c r="BA31" i="2"/>
  <c r="BB30" i="2"/>
  <c r="BA30" i="2"/>
  <c r="BB29" i="2"/>
  <c r="BA29" i="2"/>
  <c r="BB28" i="2"/>
  <c r="BA28" i="2"/>
  <c r="BA33" i="2"/>
  <c r="AZ28" i="2"/>
  <c r="BC28" i="2"/>
  <c r="BB27" i="2"/>
  <c r="BA27" i="2"/>
  <c r="BB24" i="2"/>
  <c r="BA24" i="2"/>
  <c r="BB23" i="2"/>
  <c r="BA23" i="2"/>
  <c r="BB22" i="2"/>
  <c r="BA22" i="2"/>
  <c r="BB21" i="2"/>
  <c r="BA21" i="2"/>
  <c r="BB20" i="2"/>
  <c r="BA20" i="2"/>
  <c r="BB19" i="2"/>
  <c r="BA19" i="2"/>
  <c r="BB18" i="2"/>
  <c r="BA18" i="2"/>
  <c r="BB17" i="2"/>
  <c r="BA17" i="2"/>
  <c r="BB16" i="2"/>
  <c r="BA16" i="2"/>
  <c r="BB15" i="2"/>
  <c r="BA15" i="2"/>
  <c r="BB14" i="2"/>
  <c r="BA14" i="2"/>
  <c r="BB12" i="2"/>
  <c r="BA12" i="2"/>
  <c r="BB11" i="2"/>
  <c r="BA11" i="2"/>
  <c r="BB10" i="2"/>
  <c r="BA10" i="2"/>
  <c r="AZ10" i="2"/>
  <c r="BB9" i="2"/>
  <c r="BA9" i="2"/>
  <c r="BB8" i="2"/>
  <c r="BA8" i="2"/>
  <c r="BA25" i="2"/>
  <c r="BB7" i="2"/>
  <c r="BA7" i="2"/>
  <c r="BB6" i="2"/>
  <c r="BB25" i="2"/>
  <c r="BA6" i="2"/>
  <c r="BB33" i="2"/>
  <c r="AR33" i="2"/>
  <c r="AQ33" i="2"/>
  <c r="AS32" i="2"/>
  <c r="AS31" i="2"/>
  <c r="AS30" i="2"/>
  <c r="AS29" i="2"/>
  <c r="AS28" i="2"/>
  <c r="AS27" i="2"/>
  <c r="AQ25" i="2"/>
  <c r="AS24" i="2"/>
  <c r="AS23" i="2"/>
  <c r="AS22" i="2"/>
  <c r="AS21" i="2"/>
  <c r="AS20" i="2"/>
  <c r="AS19" i="2"/>
  <c r="AS18" i="2"/>
  <c r="AS17" i="2"/>
  <c r="AS16" i="2"/>
  <c r="AR15" i="2"/>
  <c r="AR25" i="2"/>
  <c r="AS14" i="2"/>
  <c r="AS12" i="2"/>
  <c r="AS11" i="2"/>
  <c r="AS10" i="2"/>
  <c r="AS9" i="2"/>
  <c r="AS7" i="2"/>
  <c r="AZ6" i="2"/>
  <c r="BC6" i="2"/>
  <c r="AH33" i="2"/>
  <c r="AG33" i="2"/>
  <c r="AI32" i="2"/>
  <c r="AI31" i="2"/>
  <c r="AI30" i="2"/>
  <c r="AI29" i="2"/>
  <c r="AI28" i="2"/>
  <c r="AF33" i="2"/>
  <c r="AH25" i="2"/>
  <c r="AG25" i="2"/>
  <c r="AI24" i="2"/>
  <c r="AI23" i="2"/>
  <c r="AI22" i="2"/>
  <c r="AI21" i="2"/>
  <c r="AI20" i="2"/>
  <c r="AI19" i="2"/>
  <c r="AI18" i="2"/>
  <c r="AI17" i="2"/>
  <c r="AI16" i="2"/>
  <c r="AH15" i="2"/>
  <c r="AI15" i="2"/>
  <c r="AI14" i="2"/>
  <c r="AI12" i="2"/>
  <c r="AI11" i="2"/>
  <c r="AH11" i="2"/>
  <c r="AI10" i="2"/>
  <c r="AI9" i="2"/>
  <c r="AI8" i="2"/>
  <c r="AI7" i="2"/>
  <c r="X33" i="2"/>
  <c r="W33" i="2"/>
  <c r="V32" i="2"/>
  <c r="Y32" i="2"/>
  <c r="V31" i="2"/>
  <c r="Y31" i="2"/>
  <c r="V30" i="2"/>
  <c r="Y30" i="2"/>
  <c r="V29" i="2"/>
  <c r="Y29" i="2"/>
  <c r="V28" i="2"/>
  <c r="Y28" i="2"/>
  <c r="V27" i="2"/>
  <c r="Y27" i="2"/>
  <c r="X25" i="2"/>
  <c r="W25" i="2"/>
  <c r="Y24" i="2"/>
  <c r="Y23" i="2"/>
  <c r="Y22" i="2"/>
  <c r="Y21" i="2"/>
  <c r="Y20" i="2"/>
  <c r="Y19" i="2"/>
  <c r="Y18" i="2"/>
  <c r="Y17" i="2"/>
  <c r="Y16" i="2"/>
  <c r="Y15" i="2"/>
  <c r="Y14" i="2"/>
  <c r="Y12" i="2"/>
  <c r="Y11" i="2"/>
  <c r="Y10" i="2"/>
  <c r="Y9" i="2"/>
  <c r="Y8" i="2"/>
  <c r="Y7" i="2"/>
  <c r="Y6" i="2"/>
  <c r="N33" i="2"/>
  <c r="M33" i="2"/>
  <c r="L33" i="2"/>
  <c r="O32" i="2"/>
  <c r="O31" i="2"/>
  <c r="O30" i="2"/>
  <c r="O29" i="2"/>
  <c r="O28" i="2"/>
  <c r="O27" i="2"/>
  <c r="N25" i="2"/>
  <c r="M25" i="2"/>
  <c r="L25" i="2"/>
  <c r="O23" i="2"/>
  <c r="O22" i="2"/>
  <c r="O21" i="2"/>
  <c r="O20" i="2"/>
  <c r="O19" i="2"/>
  <c r="O18" i="2"/>
  <c r="O17" i="2"/>
  <c r="O16" i="2"/>
  <c r="O15" i="2"/>
  <c r="O14" i="2"/>
  <c r="O12" i="2"/>
  <c r="O11" i="2"/>
  <c r="O10" i="2"/>
  <c r="O9" i="2"/>
  <c r="O8" i="2"/>
  <c r="O7" i="2"/>
  <c r="O6" i="2"/>
  <c r="AW24" i="2"/>
  <c r="AV24" i="2"/>
  <c r="AN24" i="2"/>
  <c r="AD24" i="2"/>
  <c r="T24" i="2"/>
  <c r="J21" i="2"/>
  <c r="J22" i="2"/>
  <c r="J23" i="2"/>
  <c r="AN21" i="2"/>
  <c r="AN22" i="2"/>
  <c r="AN23" i="2"/>
  <c r="AM33" i="2"/>
  <c r="AL33" i="2"/>
  <c r="AC33" i="2"/>
  <c r="AB33" i="2"/>
  <c r="S33" i="2"/>
  <c r="R33" i="2"/>
  <c r="Q33" i="2"/>
  <c r="I33" i="2"/>
  <c r="H33" i="2"/>
  <c r="AM25" i="2"/>
  <c r="AM35" i="2"/>
  <c r="AL25" i="2"/>
  <c r="AC25" i="2"/>
  <c r="AB25" i="2"/>
  <c r="S25" i="2"/>
  <c r="R25" i="2"/>
  <c r="Q25" i="2"/>
  <c r="I25" i="2"/>
  <c r="H25" i="2"/>
  <c r="G25" i="2"/>
  <c r="AN32" i="2"/>
  <c r="AD32" i="2"/>
  <c r="T32" i="2"/>
  <c r="J32" i="2"/>
  <c r="AW32" i="2"/>
  <c r="AV32" i="2"/>
  <c r="AU32" i="2"/>
  <c r="AN31" i="2"/>
  <c r="AD31" i="2"/>
  <c r="T31" i="2"/>
  <c r="J31" i="2"/>
  <c r="AW31" i="2"/>
  <c r="AV31" i="2"/>
  <c r="AU31" i="2"/>
  <c r="AN30" i="2"/>
  <c r="AD30" i="2"/>
  <c r="T30" i="2"/>
  <c r="J30" i="2"/>
  <c r="AW30" i="2"/>
  <c r="AV30" i="2"/>
  <c r="AU30" i="2"/>
  <c r="AN29" i="2"/>
  <c r="AD29" i="2"/>
  <c r="T29" i="2"/>
  <c r="J29" i="2"/>
  <c r="AW29" i="2"/>
  <c r="AV29" i="2"/>
  <c r="AN28" i="2"/>
  <c r="AD28" i="2"/>
  <c r="T28" i="2"/>
  <c r="G28" i="2"/>
  <c r="AW28" i="2"/>
  <c r="AV28" i="2"/>
  <c r="AN27" i="2"/>
  <c r="T27" i="2"/>
  <c r="J27" i="2"/>
  <c r="AW27" i="2"/>
  <c r="AV27" i="2"/>
  <c r="T23" i="2"/>
  <c r="AW23" i="2"/>
  <c r="AV23" i="2"/>
  <c r="T22" i="2"/>
  <c r="AW22" i="2"/>
  <c r="AV22" i="2"/>
  <c r="T21" i="2"/>
  <c r="AW21" i="2"/>
  <c r="AV21" i="2"/>
  <c r="AN20" i="2"/>
  <c r="AD20" i="2"/>
  <c r="T20" i="2"/>
  <c r="J20" i="2"/>
  <c r="AW20" i="2"/>
  <c r="AV20" i="2"/>
  <c r="AN19" i="2"/>
  <c r="T19" i="2"/>
  <c r="J19" i="2"/>
  <c r="AW19" i="2"/>
  <c r="AV19" i="2"/>
  <c r="AN18" i="2"/>
  <c r="T18" i="2"/>
  <c r="J18" i="2"/>
  <c r="AW18" i="2"/>
  <c r="AV18" i="2"/>
  <c r="AD17" i="2"/>
  <c r="T17" i="2"/>
  <c r="J17" i="2"/>
  <c r="AW17" i="2"/>
  <c r="AV17" i="2"/>
  <c r="AN16" i="2"/>
  <c r="T16" i="2"/>
  <c r="J16" i="2"/>
  <c r="AW16" i="2"/>
  <c r="AV16" i="2"/>
  <c r="AN15" i="2"/>
  <c r="AD15" i="2"/>
  <c r="T15" i="2"/>
  <c r="J15" i="2"/>
  <c r="AW15" i="2"/>
  <c r="AV15" i="2"/>
  <c r="AN14" i="2"/>
  <c r="T14" i="2"/>
  <c r="J14" i="2"/>
  <c r="AW14" i="2"/>
  <c r="AV14" i="2"/>
  <c r="AN12" i="2"/>
  <c r="T12" i="2"/>
  <c r="J12" i="2"/>
  <c r="AW12" i="2"/>
  <c r="AV12" i="2"/>
  <c r="AN11" i="2"/>
  <c r="T11" i="2"/>
  <c r="J11" i="2"/>
  <c r="AW11" i="2"/>
  <c r="AV11" i="2"/>
  <c r="AD10" i="2"/>
  <c r="T10" i="2"/>
  <c r="J10" i="2"/>
  <c r="AW10" i="2"/>
  <c r="AV10" i="2"/>
  <c r="AN9" i="2"/>
  <c r="AD9" i="2"/>
  <c r="T9" i="2"/>
  <c r="J9" i="2"/>
  <c r="AW9" i="2"/>
  <c r="AV9" i="2"/>
  <c r="AN8" i="2"/>
  <c r="AD8" i="2"/>
  <c r="T8" i="2"/>
  <c r="J8" i="2"/>
  <c r="AW8" i="2"/>
  <c r="AV8" i="2"/>
  <c r="AN7" i="2"/>
  <c r="T7" i="2"/>
  <c r="J7" i="2"/>
  <c r="AW7" i="2"/>
  <c r="AV7" i="2"/>
  <c r="AN6" i="2"/>
  <c r="AD6" i="2"/>
  <c r="T6" i="2"/>
  <c r="J6" i="2"/>
  <c r="AW6" i="2"/>
  <c r="AV6" i="2"/>
  <c r="AH35" i="2"/>
  <c r="L35" i="2"/>
  <c r="AQ35" i="2"/>
  <c r="AG35" i="2"/>
  <c r="AR35" i="2"/>
  <c r="AZ19" i="2"/>
  <c r="BC19" i="2"/>
  <c r="AS33" i="2"/>
  <c r="AZ23" i="2"/>
  <c r="BC23" i="2"/>
  <c r="AZ8" i="2"/>
  <c r="BC8" i="2"/>
  <c r="AZ15" i="2"/>
  <c r="BC15" i="2"/>
  <c r="AZ29" i="2"/>
  <c r="BC29" i="2"/>
  <c r="AS8" i="2"/>
  <c r="AZ9" i="2"/>
  <c r="BC9" i="2"/>
  <c r="AZ14" i="2"/>
  <c r="BC14" i="2"/>
  <c r="AZ18" i="2"/>
  <c r="BC18" i="2"/>
  <c r="AZ22" i="2"/>
  <c r="BC22" i="2"/>
  <c r="AS6" i="2"/>
  <c r="BC10" i="2"/>
  <c r="AZ12" i="2"/>
  <c r="BC12" i="2"/>
  <c r="AZ17" i="2"/>
  <c r="BC17" i="2"/>
  <c r="AZ21" i="2"/>
  <c r="BC21" i="2"/>
  <c r="AZ27" i="2"/>
  <c r="BC27" i="2"/>
  <c r="AZ31" i="2"/>
  <c r="BC31" i="2"/>
  <c r="AZ7" i="2"/>
  <c r="BC7" i="2"/>
  <c r="AZ11" i="2"/>
  <c r="BC11" i="2"/>
  <c r="AZ16" i="2"/>
  <c r="BC16" i="2"/>
  <c r="AZ20" i="2"/>
  <c r="BC20" i="2"/>
  <c r="AZ24" i="2"/>
  <c r="BC24" i="2"/>
  <c r="AZ30" i="2"/>
  <c r="BC30" i="2"/>
  <c r="BA35" i="2"/>
  <c r="BB35" i="2"/>
  <c r="AP25" i="2"/>
  <c r="AS15" i="2"/>
  <c r="AP33" i="2"/>
  <c r="AF25" i="2"/>
  <c r="AF35" i="2"/>
  <c r="AI27" i="2"/>
  <c r="AI33" i="2"/>
  <c r="AI6" i="2"/>
  <c r="AI25" i="2"/>
  <c r="M35" i="2"/>
  <c r="W35" i="2"/>
  <c r="O33" i="2"/>
  <c r="AV25" i="2"/>
  <c r="AV33" i="2"/>
  <c r="AB35" i="2"/>
  <c r="O25" i="2"/>
  <c r="N35" i="2"/>
  <c r="X35" i="2"/>
  <c r="Y33" i="2"/>
  <c r="Y25" i="2"/>
  <c r="V25" i="2"/>
  <c r="V33" i="2"/>
  <c r="J25" i="2"/>
  <c r="T33" i="2"/>
  <c r="Q35" i="2"/>
  <c r="AC35" i="2"/>
  <c r="R35" i="2"/>
  <c r="AL35" i="2"/>
  <c r="T25" i="2"/>
  <c r="AW33" i="2"/>
  <c r="I35" i="2"/>
  <c r="H35" i="2"/>
  <c r="S35" i="2"/>
  <c r="AU24" i="2"/>
  <c r="AX24" i="2"/>
  <c r="AN33" i="2"/>
  <c r="AU16" i="2"/>
  <c r="AX16" i="2"/>
  <c r="T35" i="2"/>
  <c r="AW25" i="2"/>
  <c r="AK33" i="2"/>
  <c r="AA33" i="2"/>
  <c r="AX32" i="2"/>
  <c r="AA25" i="2"/>
  <c r="AK25" i="2"/>
  <c r="AU28" i="2"/>
  <c r="AX28" i="2"/>
  <c r="AX31" i="2"/>
  <c r="AU12" i="2"/>
  <c r="AX12" i="2"/>
  <c r="AD12" i="2"/>
  <c r="AD16" i="2"/>
  <c r="AU8" i="2"/>
  <c r="AX8" i="2"/>
  <c r="AU10" i="2"/>
  <c r="AX10" i="2"/>
  <c r="AU18" i="2"/>
  <c r="AX18" i="2"/>
  <c r="AX30" i="2"/>
  <c r="AU7" i="2"/>
  <c r="AX7" i="2"/>
  <c r="AU9" i="2"/>
  <c r="AX9" i="2"/>
  <c r="AU11" i="2"/>
  <c r="AX11" i="2"/>
  <c r="AU17" i="2"/>
  <c r="AX17" i="2"/>
  <c r="AD18" i="2"/>
  <c r="J28" i="2"/>
  <c r="J33" i="2"/>
  <c r="G33" i="2"/>
  <c r="G35" i="2"/>
  <c r="AN17" i="2"/>
  <c r="AD22" i="2"/>
  <c r="AU22" i="2"/>
  <c r="AX22" i="2"/>
  <c r="AD23" i="2"/>
  <c r="AU23" i="2"/>
  <c r="AX23" i="2"/>
  <c r="AD27" i="2"/>
  <c r="AD33" i="2"/>
  <c r="AU27" i="2"/>
  <c r="AD7" i="2"/>
  <c r="AN10" i="2"/>
  <c r="AN25" i="2"/>
  <c r="AD11" i="2"/>
  <c r="AU15" i="2"/>
  <c r="AX15" i="2"/>
  <c r="AU20" i="2"/>
  <c r="AX20" i="2"/>
  <c r="AU29" i="2"/>
  <c r="AX29" i="2"/>
  <c r="AD21" i="2"/>
  <c r="AU21" i="2"/>
  <c r="AU6" i="2"/>
  <c r="AD14" i="2"/>
  <c r="AU14" i="2"/>
  <c r="AX14" i="2"/>
  <c r="AD19" i="2"/>
  <c r="AU19" i="2"/>
  <c r="AX19" i="2"/>
  <c r="O35" i="2"/>
  <c r="AS25" i="2"/>
  <c r="AS35" i="2"/>
  <c r="BC25" i="2"/>
  <c r="BC33" i="2"/>
  <c r="AZ33" i="2"/>
  <c r="AP35" i="2"/>
  <c r="AZ25" i="2"/>
  <c r="AI35" i="2"/>
  <c r="J35" i="2"/>
  <c r="AV35" i="2"/>
  <c r="V35" i="2"/>
  <c r="Y35" i="2"/>
  <c r="AA35" i="2"/>
  <c r="AU33" i="2"/>
  <c r="AW35" i="2"/>
  <c r="AN35" i="2"/>
  <c r="AD25" i="2"/>
  <c r="AD35" i="2"/>
  <c r="AK35" i="2"/>
  <c r="AX21" i="2"/>
  <c r="AU25" i="2"/>
  <c r="AX6" i="2"/>
  <c r="AX27" i="2"/>
  <c r="AX33" i="2"/>
  <c r="AZ35" i="2"/>
  <c r="BC35" i="2"/>
  <c r="AU35" i="2"/>
  <c r="AX25" i="2"/>
  <c r="AX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Guarini, Leonardo (GE Oil &amp; Gas)</author>
  </authors>
  <commentList>
    <comment ref="X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Guarini, Leonardo (GE Oil &amp; Gas):</t>
        </r>
        <r>
          <rPr>
            <sz val="9"/>
            <color indexed="81"/>
            <rFont val="Tahoma"/>
            <family val="2"/>
          </rPr>
          <t xml:space="preserve">
140$ Barrier product delayed to Q4</t>
        </r>
      </text>
    </comment>
    <comment ref="AH2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Guarini, Leonardo (GE Oil &amp; Gas):</t>
        </r>
        <r>
          <rPr>
            <sz val="9"/>
            <color indexed="81"/>
            <rFont val="Tahoma"/>
            <family val="2"/>
          </rPr>
          <t xml:space="preserve">
slipped from Q2</t>
        </r>
      </text>
    </comment>
    <comment ref="AR2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Guarini, Leonardo (GE Oil &amp; Gas):</t>
        </r>
        <r>
          <rPr>
            <sz val="9"/>
            <color indexed="81"/>
            <rFont val="Tahoma"/>
            <family val="2"/>
          </rPr>
          <t xml:space="preserve">
Slipped from Q2</t>
        </r>
      </text>
    </comment>
  </commentList>
</comments>
</file>

<file path=xl/sharedStrings.xml><?xml version="1.0" encoding="utf-8"?>
<sst xmlns="http://schemas.openxmlformats.org/spreadsheetml/2006/main" count="193" uniqueCount="89">
  <si>
    <t>TOTAL 2017 OP</t>
  </si>
  <si>
    <t>ORACLE</t>
  </si>
  <si>
    <t>PM</t>
  </si>
  <si>
    <t>PROGRAM NAME</t>
  </si>
  <si>
    <t>Labor $</t>
  </si>
  <si>
    <t>Hours</t>
  </si>
  <si>
    <t>Direct $</t>
  </si>
  <si>
    <t>Total $</t>
  </si>
  <si>
    <t>Labor</t>
  </si>
  <si>
    <t>Direct</t>
  </si>
  <si>
    <t>Total</t>
  </si>
  <si>
    <t>ROW</t>
  </si>
  <si>
    <t>Kirton P.</t>
  </si>
  <si>
    <t>R153 - HP/LD Development</t>
  </si>
  <si>
    <t>R160 - PVDF Micro-Crazing</t>
  </si>
  <si>
    <t>R160-2 - CR1404 HTHP</t>
  </si>
  <si>
    <t>R180 - HPLD DW</t>
  </si>
  <si>
    <t>R181 - HP DW</t>
  </si>
  <si>
    <t>Latto J.</t>
  </si>
  <si>
    <t>R168 - PVDF Single Layer Qual.</t>
  </si>
  <si>
    <t>R166 - Composite Pipe Dev.</t>
  </si>
  <si>
    <t>Clement R.</t>
  </si>
  <si>
    <t xml:space="preserve">R170 t-profile </t>
  </si>
  <si>
    <t>Rafi M.</t>
  </si>
  <si>
    <t>R165 Mid Temp Polymer CO</t>
  </si>
  <si>
    <t>***</t>
  </si>
  <si>
    <t>Future Project - Heated Line</t>
  </si>
  <si>
    <t>Geoff E.</t>
  </si>
  <si>
    <t>Maps (ROV, Wireless)</t>
  </si>
  <si>
    <t>New Onshore Composite</t>
  </si>
  <si>
    <t>Igor L.</t>
  </si>
  <si>
    <t>R174 - EndFitting Develop</t>
  </si>
  <si>
    <t xml:space="preserve">R161 - Deepwater Carcass </t>
  </si>
  <si>
    <t>Meier M.</t>
  </si>
  <si>
    <t xml:space="preserve">CO New Collapse Design </t>
  </si>
  <si>
    <t>CO Bend Restrictors Standard</t>
  </si>
  <si>
    <t>CO Polymer Layers Opt</t>
  </si>
  <si>
    <t>TOTAL ROW</t>
  </si>
  <si>
    <t>BRAZIL</t>
  </si>
  <si>
    <t xml:space="preserve">R163 - Mid Sour Wires </t>
  </si>
  <si>
    <t>TOTAL BRAZIL</t>
  </si>
  <si>
    <t>Grand Total</t>
  </si>
  <si>
    <t xml:space="preserve"> 1Q OP $</t>
  </si>
  <si>
    <t>2Q OP $</t>
  </si>
  <si>
    <t>4Q OP $</t>
  </si>
  <si>
    <t>3Q OP $</t>
  </si>
  <si>
    <t>CO2 SCC</t>
  </si>
  <si>
    <t>2Q QMI $</t>
  </si>
  <si>
    <t>1Q Act $</t>
  </si>
  <si>
    <t>Q3 LE</t>
  </si>
  <si>
    <t>Q4 LE</t>
  </si>
  <si>
    <t>TOTAL 2017 LE</t>
  </si>
  <si>
    <t>1Q</t>
  </si>
  <si>
    <t>2Q</t>
  </si>
  <si>
    <t>3Q</t>
  </si>
  <si>
    <t>4Q</t>
  </si>
  <si>
    <t xml:space="preserve">FX USD </t>
  </si>
  <si>
    <t>2017 LE</t>
  </si>
  <si>
    <t>2017 OP</t>
  </si>
  <si>
    <t>OCPH $</t>
  </si>
  <si>
    <t>2017 £</t>
  </si>
  <si>
    <t>2017 $</t>
  </si>
  <si>
    <t xml:space="preserve">GBP </t>
  </si>
  <si>
    <t>Tech UK</t>
  </si>
  <si>
    <t xml:space="preserve">BRL </t>
  </si>
  <si>
    <t>Tech BRL</t>
  </si>
  <si>
    <t>ENG UK</t>
  </si>
  <si>
    <t>ENG BRL</t>
  </si>
  <si>
    <t>MOR</t>
  </si>
  <si>
    <t>2017 Average</t>
  </si>
  <si>
    <t>JAN</t>
  </si>
  <si>
    <t>USD</t>
  </si>
  <si>
    <t>GBP</t>
  </si>
  <si>
    <t>Q1</t>
  </si>
  <si>
    <t>BRL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</si>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</sst>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GE Inspira"/>
      <family val="2"/>
    </font>
    <font>
      <sz val="11"/>
      <color theme="1"/>
      <name val="GE Inspira"/>
      <family val="2"/>
    </font>
    <font>
      <b/>
      <sz val="11"/>
      <color theme="1"/>
      <name val="GE Inspira"/>
      <family val="2"/>
    </font>
    <font>
      <b/>
      <sz val="11"/>
      <name val="GE Inspira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6">
    <xf numFmtId="0" fontId="0" fillId="0" borderId="0" xfId="0"/>
    <xf numFmtId="165" fontId="0" fillId="0" borderId="0" xfId="1" applyNumberFormat="1" applyFont="1"/>
    <xf numFmtId="164" fontId="0" fillId="0" borderId="0" xfId="1" applyFont="1"/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0" fillId="0" borderId="6" xfId="0" applyNumberFormat="1" applyBorder="1"/>
    <xf numFmtId="0" fontId="0" fillId="0" borderId="7" xfId="0" applyBorder="1"/>
    <xf numFmtId="165" fontId="0" fillId="0" borderId="6" xfId="1" applyNumberFormat="1" applyFont="1" applyBorder="1"/>
    <xf numFmtId="165" fontId="0" fillId="0" borderId="6" xfId="1" applyNumberFormat="1" applyFont="1" applyFill="1" applyBorder="1"/>
    <xf numFmtId="165" fontId="0" fillId="0" borderId="8" xfId="1" applyNumberFormat="1" applyFont="1" applyBorder="1"/>
    <xf numFmtId="165" fontId="3" fillId="5" borderId="8" xfId="1" applyNumberFormat="1" applyFont="1" applyFill="1" applyBorder="1"/>
    <xf numFmtId="166" fontId="1" fillId="0" borderId="8" xfId="1" applyNumberFormat="1" applyFont="1" applyFill="1" applyBorder="1"/>
    <xf numFmtId="166" fontId="3" fillId="5" borderId="8" xfId="1" applyNumberFormat="1" applyFont="1" applyFill="1" applyBorder="1"/>
    <xf numFmtId="165" fontId="0" fillId="0" borderId="8" xfId="1" applyNumberFormat="1" applyFont="1" applyFill="1" applyBorder="1"/>
    <xf numFmtId="165" fontId="0" fillId="0" borderId="9" xfId="1" applyNumberFormat="1" applyFont="1" applyBorder="1"/>
    <xf numFmtId="165" fontId="0" fillId="0" borderId="9" xfId="1" applyNumberFormat="1" applyFont="1" applyFill="1" applyBorder="1"/>
    <xf numFmtId="165" fontId="3" fillId="5" borderId="7" xfId="1" applyNumberFormat="1" applyFont="1" applyFill="1" applyBorder="1"/>
    <xf numFmtId="165" fontId="0" fillId="0" borderId="7" xfId="1" applyNumberFormat="1" applyFont="1" applyBorder="1"/>
    <xf numFmtId="0" fontId="0" fillId="0" borderId="9" xfId="0" applyBorder="1"/>
    <xf numFmtId="166" fontId="1" fillId="0" borderId="7" xfId="1" applyNumberFormat="1" applyFont="1" applyFill="1" applyBorder="1"/>
    <xf numFmtId="166" fontId="0" fillId="0" borderId="9" xfId="1" applyNumberFormat="1" applyFont="1" applyFill="1" applyBorder="1"/>
    <xf numFmtId="166" fontId="3" fillId="5" borderId="7" xfId="1" applyNumberFormat="1" applyFont="1" applyFill="1" applyBorder="1"/>
    <xf numFmtId="165" fontId="0" fillId="0" borderId="7" xfId="1" applyNumberFormat="1" applyFont="1" applyFill="1" applyBorder="1"/>
    <xf numFmtId="0" fontId="0" fillId="0" borderId="9" xfId="0" applyNumberFormat="1" applyBorder="1"/>
    <xf numFmtId="0" fontId="0" fillId="6" borderId="7" xfId="0" applyFill="1" applyBorder="1"/>
    <xf numFmtId="0" fontId="0" fillId="0" borderId="7" xfId="0" applyFont="1" applyBorder="1"/>
    <xf numFmtId="165" fontId="1" fillId="0" borderId="9" xfId="1" applyNumberFormat="1" applyFont="1" applyBorder="1"/>
    <xf numFmtId="165" fontId="1" fillId="0" borderId="9" xfId="1" applyNumberFormat="1" applyFont="1" applyFill="1" applyBorder="1"/>
    <xf numFmtId="165" fontId="1" fillId="0" borderId="7" xfId="1" applyNumberFormat="1" applyFont="1" applyBorder="1"/>
    <xf numFmtId="165" fontId="6" fillId="0" borderId="9" xfId="1" applyNumberFormat="1" applyFont="1" applyBorder="1"/>
    <xf numFmtId="165" fontId="6" fillId="0" borderId="9" xfId="1" applyNumberFormat="1" applyFont="1" applyFill="1" applyBorder="1"/>
    <xf numFmtId="165" fontId="6" fillId="0" borderId="7" xfId="1" applyNumberFormat="1" applyFont="1" applyBorder="1"/>
    <xf numFmtId="166" fontId="1" fillId="0" borderId="9" xfId="1" applyNumberFormat="1" applyFont="1" applyFill="1" applyBorder="1"/>
    <xf numFmtId="0" fontId="5" fillId="0" borderId="0" xfId="0" applyFont="1" applyBorder="1" applyAlignment="1">
      <alignment horizontal="center" vertical="center" textRotation="90" wrapText="1"/>
    </xf>
    <xf numFmtId="0" fontId="0" fillId="0" borderId="7" xfId="0" applyFill="1" applyBorder="1"/>
    <xf numFmtId="166" fontId="4" fillId="2" borderId="1" xfId="1" applyNumberFormat="1" applyFont="1" applyFill="1" applyBorder="1"/>
    <xf numFmtId="166" fontId="4" fillId="3" borderId="1" xfId="1" applyNumberFormat="1" applyFont="1" applyFill="1" applyBorder="1"/>
    <xf numFmtId="166" fontId="2" fillId="3" borderId="4" xfId="1" applyNumberFormat="1" applyFont="1" applyFill="1" applyBorder="1"/>
    <xf numFmtId="0" fontId="0" fillId="0" borderId="8" xfId="0" applyBorder="1"/>
    <xf numFmtId="0" fontId="0" fillId="6" borderId="8" xfId="0" applyFill="1" applyBorder="1"/>
    <xf numFmtId="0" fontId="0" fillId="0" borderId="10" xfId="0" applyBorder="1"/>
    <xf numFmtId="166" fontId="0" fillId="0" borderId="6" xfId="1" applyNumberFormat="1" applyFont="1" applyFill="1" applyBorder="1"/>
    <xf numFmtId="166" fontId="2" fillId="3" borderId="1" xfId="1" applyNumberFormat="1" applyFont="1" applyFill="1" applyBorder="1"/>
    <xf numFmtId="165" fontId="9" fillId="2" borderId="4" xfId="1" applyNumberFormat="1" applyFont="1" applyFill="1" applyBorder="1" applyAlignment="1">
      <alignment vertical="center"/>
    </xf>
    <xf numFmtId="0" fontId="9" fillId="2" borderId="4" xfId="1" applyNumberFormat="1" applyFont="1" applyFill="1" applyBorder="1" applyAlignment="1">
      <alignment horizontal="center" vertical="center"/>
    </xf>
    <xf numFmtId="165" fontId="10" fillId="0" borderId="4" xfId="1" applyNumberFormat="1" applyFont="1" applyBorder="1" applyAlignment="1"/>
    <xf numFmtId="164" fontId="10" fillId="0" borderId="4" xfId="1" applyFont="1" applyBorder="1"/>
    <xf numFmtId="167" fontId="11" fillId="0" borderId="4" xfId="1" applyNumberFormat="1" applyFont="1" applyFill="1" applyBorder="1"/>
    <xf numFmtId="167" fontId="12" fillId="8" borderId="4" xfId="1" applyNumberFormat="1" applyFont="1" applyFill="1" applyBorder="1"/>
    <xf numFmtId="164" fontId="12" fillId="8" borderId="4" xfId="1" applyFont="1" applyFill="1" applyBorder="1"/>
    <xf numFmtId="0" fontId="14" fillId="0" borderId="18" xfId="0" applyFont="1" applyFill="1" applyBorder="1"/>
    <xf numFmtId="0" fontId="15" fillId="0" borderId="0" xfId="0" applyFont="1" applyFill="1" applyBorder="1"/>
    <xf numFmtId="164" fontId="14" fillId="0" borderId="0" xfId="1" applyFont="1" applyFill="1" applyBorder="1"/>
    <xf numFmtId="0" fontId="0" fillId="0" borderId="0" xfId="0" applyFill="1"/>
    <xf numFmtId="0" fontId="0" fillId="9" borderId="9" xfId="0" applyFill="1" applyBorder="1"/>
    <xf numFmtId="0" fontId="0" fillId="9" borderId="7" xfId="0" applyFill="1" applyBorder="1"/>
    <xf numFmtId="0" fontId="0" fillId="9" borderId="0" xfId="0" applyFill="1"/>
    <xf numFmtId="165" fontId="0" fillId="9" borderId="9" xfId="1" applyNumberFormat="1" applyFont="1" applyFill="1" applyBorder="1"/>
    <xf numFmtId="165" fontId="0" fillId="9" borderId="7" xfId="1" applyNumberFormat="1" applyFont="1" applyFill="1" applyBorder="1"/>
    <xf numFmtId="165" fontId="3" fillId="9" borderId="7" xfId="1" applyNumberFormat="1" applyFont="1" applyFill="1" applyBorder="1"/>
    <xf numFmtId="166" fontId="1" fillId="9" borderId="7" xfId="1" applyNumberFormat="1" applyFont="1" applyFill="1" applyBorder="1"/>
    <xf numFmtId="166" fontId="0" fillId="9" borderId="9" xfId="1" applyNumberFormat="1" applyFont="1" applyFill="1" applyBorder="1"/>
    <xf numFmtId="166" fontId="3" fillId="9" borderId="7" xfId="1" applyNumberFormat="1" applyFont="1" applyFill="1" applyBorder="1"/>
    <xf numFmtId="0" fontId="0" fillId="9" borderId="9" xfId="0" applyNumberFormat="1" applyFill="1" applyBorder="1"/>
    <xf numFmtId="0" fontId="16" fillId="9" borderId="9" xfId="0" applyNumberFormat="1" applyFont="1" applyFill="1" applyBorder="1"/>
    <xf numFmtId="0" fontId="16" fillId="9" borderId="7" xfId="0" applyFont="1" applyFill="1" applyBorder="1"/>
    <xf numFmtId="0" fontId="16" fillId="9" borderId="0" xfId="0" applyFont="1" applyFill="1"/>
    <xf numFmtId="165" fontId="16" fillId="9" borderId="9" xfId="1" applyNumberFormat="1" applyFont="1" applyFill="1" applyBorder="1"/>
    <xf numFmtId="165" fontId="16" fillId="9" borderId="7" xfId="1" applyNumberFormat="1" applyFont="1" applyFill="1" applyBorder="1"/>
    <xf numFmtId="165" fontId="17" fillId="9" borderId="7" xfId="1" applyNumberFormat="1" applyFont="1" applyFill="1" applyBorder="1"/>
    <xf numFmtId="0" fontId="1" fillId="9" borderId="0" xfId="0" applyFont="1" applyFill="1"/>
    <xf numFmtId="165" fontId="1" fillId="9" borderId="9" xfId="1" applyNumberFormat="1" applyFont="1" applyFill="1" applyBorder="1"/>
    <xf numFmtId="165" fontId="1" fillId="9" borderId="7" xfId="1" applyNumberFormat="1" applyFont="1" applyFill="1" applyBorder="1"/>
    <xf numFmtId="166" fontId="1" fillId="9" borderId="9" xfId="1" applyNumberFormat="1" applyFont="1" applyFill="1" applyBorder="1"/>
    <xf numFmtId="165" fontId="4" fillId="3" borderId="1" xfId="1" applyNumberFormat="1" applyFont="1" applyFill="1" applyBorder="1" applyAlignment="1">
      <alignment horizontal="center" wrapText="1"/>
    </xf>
    <xf numFmtId="165" fontId="4" fillId="3" borderId="2" xfId="1" applyNumberFormat="1" applyFont="1" applyFill="1" applyBorder="1" applyAlignment="1">
      <alignment horizontal="center" wrapText="1"/>
    </xf>
    <xf numFmtId="165" fontId="4" fillId="3" borderId="3" xfId="1" applyNumberFormat="1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165" fontId="4" fillId="2" borderId="1" xfId="1" applyNumberFormat="1" applyFont="1" applyFill="1" applyBorder="1" applyAlignment="1">
      <alignment horizontal="center" wrapText="1"/>
    </xf>
    <xf numFmtId="165" fontId="4" fillId="2" borderId="2" xfId="1" applyNumberFormat="1" applyFont="1" applyFill="1" applyBorder="1" applyAlignment="1">
      <alignment horizontal="center" wrapText="1"/>
    </xf>
    <xf numFmtId="165" fontId="4" fillId="2" borderId="3" xfId="1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ewcnf01.tsg.ge.com/ncshare1_nec/WNS_Finance/General/2017%20Folder/Technology%20ENG/QMI/Q2/FW24/NPI%202017%20Q2%20NPI%20global%20tracker%20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ewcnf01.tsg.ge.com/ncshare1_nec/WNS_Finance/General/2017%20Folder/Technology%20ENG/QMI/Q2/FW21/NPI%202017%20Q2%20NPI%20global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 lists"/>
      <sheetName val="Framework"/>
      <sheetName val="Sheet3"/>
      <sheetName val="Analysis"/>
      <sheetName val="2Q 2017 QMI (3)"/>
      <sheetName val="2Q 2017 QMI (2)"/>
      <sheetName val="Sheet2"/>
      <sheetName val="2Q 2017 QMI"/>
      <sheetName val="NPIs Financials&amp;Dates"/>
      <sheetName val="FX"/>
      <sheetName val="Sheet4"/>
      <sheetName val="1Q 2017 Actuals (2)"/>
      <sheetName val="NPIs Pipes_EF"/>
      <sheetName val="Pipe_Planning_Jan17 base"/>
      <sheetName val="Premises_hours"/>
      <sheetName val="Sheet1"/>
      <sheetName val="Premisses_Pipe+EF MFG_COMPL_REF"/>
      <sheetName val="Premisses_Pipe+EFCompletion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K4">
            <v>82.8212219014044</v>
          </cell>
        </row>
        <row r="5">
          <cell r="K5">
            <v>98.955297910595817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 lists"/>
      <sheetName val="Framework"/>
      <sheetName val="Sheet3"/>
      <sheetName val="Analysis"/>
      <sheetName val="Sheet2"/>
      <sheetName val="2Q 2017 QMI"/>
      <sheetName val="NPIs Financials&amp;Dates"/>
      <sheetName val="FX"/>
      <sheetName val="1Q 2017 Actuals (2)"/>
      <sheetName val="NPIs Pipes_EF"/>
      <sheetName val="Pipe_Planning_Jan17 base"/>
      <sheetName val="Premises_hours"/>
      <sheetName val="Sheet1"/>
      <sheetName val="Premisses_Pipe+EF MFG_COMPL_REF"/>
      <sheetName val="Premisses_Pipe+EFCompletion_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K5">
            <v>98.955297910595817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37"/>
  <sheetViews>
    <sheetView showGridLines="0" tabSelected="1" zoomScale="85" zoomScaleNormal="85" workbookViewId="0" xr3:uid="{AEA406A1-0E4B-5B11-9CD5-51D6E497D94C}">
      <pane xSplit="6" ySplit="5" topLeftCell="G6" activePane="bottomRight" state="frozen"/>
      <selection pane="bottomLeft" activeCell="A6" sqref="A6"/>
      <selection pane="topRight" activeCell="L1" sqref="L1"/>
      <selection pane="bottomRight" activeCell="AL41" sqref="AL41"/>
    </sheetView>
  </sheetViews>
  <sheetFormatPr defaultRowHeight="15" outlineLevelCol="1" x14ac:dyDescent="0.2"/>
  <cols>
    <col min="1" max="1" width="2.82421875" customWidth="1"/>
    <col min="2" max="2" width="4.4375" customWidth="1"/>
    <col min="3" max="3" width="9.68359375" bestFit="1" customWidth="1"/>
    <col min="4" max="4" width="12.9140625" customWidth="1"/>
    <col min="5" max="5" width="30.8046875" bestFit="1" customWidth="1"/>
    <col min="6" max="6" width="2.015625" customWidth="1"/>
    <col min="7" max="7" width="7.3984375" hidden="1" customWidth="1" outlineLevel="1"/>
    <col min="8" max="8" width="8.609375" style="1" hidden="1" customWidth="1" outlineLevel="1"/>
    <col min="9" max="9" width="7.93359375" style="1" hidden="1" customWidth="1" outlineLevel="1"/>
    <col min="10" max="10" width="9.953125" style="1" bestFit="1" customWidth="1" collapsed="1"/>
    <col min="11" max="11" width="1.74609375" customWidth="1"/>
    <col min="12" max="14" width="9.953125" style="1" hidden="1" customWidth="1" outlineLevel="1"/>
    <col min="15" max="15" width="9.953125" style="1" customWidth="1" collapsed="1"/>
    <col min="16" max="16" width="1.34375" customWidth="1"/>
    <col min="17" max="17" width="9.14453125" style="1" customWidth="1" outlineLevel="1"/>
    <col min="18" max="18" width="8.609375" style="1" customWidth="1" outlineLevel="1"/>
    <col min="19" max="19" width="7.80078125" style="1" customWidth="1" outlineLevel="1"/>
    <col min="20" max="20" width="11.97265625" style="1" bestFit="1" customWidth="1"/>
    <col min="21" max="21" width="1.07421875" customWidth="1"/>
    <col min="22" max="22" width="10.625" style="1" customWidth="1" outlineLevel="1"/>
    <col min="23" max="23" width="10.76171875" style="1" customWidth="1" outlineLevel="1"/>
    <col min="24" max="24" width="9.81640625" style="1" customWidth="1" outlineLevel="1"/>
    <col min="25" max="25" width="11.97265625" style="1" customWidth="1"/>
    <col min="26" max="26" width="1.4765625" style="1" customWidth="1"/>
    <col min="27" max="27" width="9.14453125" style="1" hidden="1" customWidth="1" outlineLevel="1"/>
    <col min="28" max="28" width="10.76171875" style="1" hidden="1" customWidth="1" outlineLevel="1"/>
    <col min="29" max="29" width="13.046875" style="1" hidden="1" customWidth="1" outlineLevel="1"/>
    <col min="30" max="30" width="11.97265625" style="1" bestFit="1" customWidth="1" collapsed="1"/>
    <col min="31" max="31" width="1.61328125" customWidth="1"/>
    <col min="32" max="34" width="11.02734375" style="1" hidden="1" customWidth="1" outlineLevel="1"/>
    <col min="35" max="35" width="11.02734375" style="1" customWidth="1" collapsed="1"/>
    <col min="36" max="36" width="1.34375" style="2" customWidth="1"/>
    <col min="37" max="37" width="9.14453125" style="1" customWidth="1" outlineLevel="1"/>
    <col min="38" max="38" width="10.76171875" style="1" customWidth="1" outlineLevel="1"/>
    <col min="39" max="39" width="9.55078125" style="1" customWidth="1" outlineLevel="1"/>
    <col min="40" max="40" width="11.97265625" style="1" bestFit="1" customWidth="1"/>
    <col min="41" max="41" width="1.8828125" customWidth="1"/>
    <col min="42" max="44" width="10.22265625" style="1" hidden="1" customWidth="1" outlineLevel="1"/>
    <col min="45" max="45" width="10.22265625" style="1" customWidth="1" collapsed="1"/>
    <col min="46" max="46" width="2.5546875" customWidth="1"/>
    <col min="47" max="47" width="11.296875" customWidth="1"/>
    <col min="48" max="48" width="10.76171875" bestFit="1" customWidth="1"/>
    <col min="49" max="49" width="9.55078125" customWidth="1"/>
    <col min="50" max="50" width="10.89453125" customWidth="1"/>
    <col min="51" max="51" width="2.95703125" customWidth="1"/>
    <col min="53" max="53" width="10.76171875" bestFit="1" customWidth="1"/>
    <col min="55" max="55" width="11.97265625" bestFit="1" customWidth="1"/>
  </cols>
  <sheetData>
    <row r="2" spans="2:55" x14ac:dyDescent="0.2">
      <c r="G2" s="78" t="s">
        <v>52</v>
      </c>
      <c r="H2" s="79"/>
      <c r="I2" s="79"/>
      <c r="J2" s="79"/>
      <c r="K2" s="79"/>
      <c r="L2" s="79"/>
      <c r="M2" s="79"/>
      <c r="N2" s="79"/>
      <c r="O2" s="80"/>
      <c r="Q2" s="78" t="s">
        <v>53</v>
      </c>
      <c r="R2" s="79"/>
      <c r="S2" s="79"/>
      <c r="T2" s="79"/>
      <c r="U2" s="79"/>
      <c r="V2" s="79"/>
      <c r="W2" s="79"/>
      <c r="X2" s="79"/>
      <c r="Y2" s="80"/>
      <c r="AA2" s="78" t="s">
        <v>54</v>
      </c>
      <c r="AB2" s="79"/>
      <c r="AC2" s="79"/>
      <c r="AD2" s="79"/>
      <c r="AE2" s="79"/>
      <c r="AF2" s="79"/>
      <c r="AG2" s="79"/>
      <c r="AH2" s="79"/>
      <c r="AI2" s="80"/>
      <c r="AK2" s="78" t="s">
        <v>55</v>
      </c>
      <c r="AL2" s="79"/>
      <c r="AM2" s="79"/>
      <c r="AN2" s="79"/>
      <c r="AO2" s="79"/>
      <c r="AP2" s="79"/>
      <c r="AQ2" s="79"/>
      <c r="AR2" s="79"/>
      <c r="AS2" s="80"/>
    </row>
    <row r="4" spans="2:55" ht="15" customHeight="1" x14ac:dyDescent="0.2">
      <c r="G4" s="81" t="s">
        <v>42</v>
      </c>
      <c r="H4" s="82"/>
      <c r="I4" s="82"/>
      <c r="J4" s="83"/>
      <c r="L4" s="75" t="s">
        <v>48</v>
      </c>
      <c r="M4" s="76"/>
      <c r="N4" s="76"/>
      <c r="O4" s="77"/>
      <c r="Q4" s="81" t="s">
        <v>43</v>
      </c>
      <c r="R4" s="82"/>
      <c r="S4" s="82"/>
      <c r="T4" s="83"/>
      <c r="V4" s="75" t="s">
        <v>47</v>
      </c>
      <c r="W4" s="76"/>
      <c r="X4" s="76"/>
      <c r="Y4" s="77"/>
      <c r="Z4"/>
      <c r="AA4" s="81" t="s">
        <v>45</v>
      </c>
      <c r="AB4" s="82"/>
      <c r="AC4" s="82"/>
      <c r="AD4" s="83"/>
      <c r="AF4" s="75" t="s">
        <v>49</v>
      </c>
      <c r="AG4" s="76"/>
      <c r="AH4" s="76"/>
      <c r="AI4" s="77"/>
      <c r="AJ4"/>
      <c r="AK4" s="81" t="s">
        <v>44</v>
      </c>
      <c r="AL4" s="82"/>
      <c r="AM4" s="82"/>
      <c r="AN4" s="83"/>
      <c r="AP4" s="75" t="s">
        <v>50</v>
      </c>
      <c r="AQ4" s="76"/>
      <c r="AR4" s="76"/>
      <c r="AS4" s="77"/>
      <c r="AU4" s="81" t="s">
        <v>0</v>
      </c>
      <c r="AV4" s="82"/>
      <c r="AW4" s="82"/>
      <c r="AX4" s="83"/>
      <c r="AZ4" s="75" t="s">
        <v>51</v>
      </c>
      <c r="BA4" s="76"/>
      <c r="BB4" s="76"/>
      <c r="BC4" s="77"/>
    </row>
    <row r="5" spans="2:55" ht="15" customHeight="1" x14ac:dyDescent="0.2">
      <c r="C5" s="3" t="s">
        <v>1</v>
      </c>
      <c r="D5" s="4" t="s">
        <v>2</v>
      </c>
      <c r="E5" s="4" t="s">
        <v>3</v>
      </c>
      <c r="G5" s="5" t="s">
        <v>8</v>
      </c>
      <c r="H5" s="5" t="s">
        <v>5</v>
      </c>
      <c r="I5" s="5" t="s">
        <v>9</v>
      </c>
      <c r="J5" s="5" t="s">
        <v>10</v>
      </c>
      <c r="L5" s="5" t="s">
        <v>8</v>
      </c>
      <c r="M5" s="5" t="s">
        <v>5</v>
      </c>
      <c r="N5" s="5" t="s">
        <v>9</v>
      </c>
      <c r="O5" s="5" t="s">
        <v>10</v>
      </c>
      <c r="Q5" s="5" t="s">
        <v>4</v>
      </c>
      <c r="R5" s="5" t="s">
        <v>5</v>
      </c>
      <c r="S5" s="5" t="s">
        <v>6</v>
      </c>
      <c r="T5" s="5" t="s">
        <v>7</v>
      </c>
      <c r="V5" s="5" t="s">
        <v>4</v>
      </c>
      <c r="W5" s="5" t="s">
        <v>5</v>
      </c>
      <c r="X5" s="5" t="s">
        <v>6</v>
      </c>
      <c r="Y5" s="5" t="s">
        <v>7</v>
      </c>
      <c r="Z5"/>
      <c r="AA5" s="5" t="s">
        <v>4</v>
      </c>
      <c r="AB5" s="5" t="s">
        <v>5</v>
      </c>
      <c r="AC5" s="5" t="s">
        <v>6</v>
      </c>
      <c r="AD5" s="5" t="s">
        <v>7</v>
      </c>
      <c r="AF5" s="5" t="s">
        <v>4</v>
      </c>
      <c r="AG5" s="5" t="s">
        <v>5</v>
      </c>
      <c r="AH5" s="5" t="s">
        <v>6</v>
      </c>
      <c r="AI5" s="5" t="s">
        <v>7</v>
      </c>
      <c r="AJ5"/>
      <c r="AK5" s="5" t="s">
        <v>4</v>
      </c>
      <c r="AL5" s="5" t="s">
        <v>5</v>
      </c>
      <c r="AM5" s="5" t="s">
        <v>6</v>
      </c>
      <c r="AN5" s="5" t="s">
        <v>7</v>
      </c>
      <c r="AP5" s="5" t="s">
        <v>4</v>
      </c>
      <c r="AQ5" s="5" t="s">
        <v>5</v>
      </c>
      <c r="AR5" s="5" t="s">
        <v>6</v>
      </c>
      <c r="AS5" s="5" t="s">
        <v>7</v>
      </c>
      <c r="AU5" s="5" t="s">
        <v>4</v>
      </c>
      <c r="AV5" s="5" t="s">
        <v>5</v>
      </c>
      <c r="AW5" s="5" t="s">
        <v>6</v>
      </c>
      <c r="AX5" s="5" t="s">
        <v>7</v>
      </c>
      <c r="AZ5" s="5" t="s">
        <v>4</v>
      </c>
      <c r="BA5" s="5" t="s">
        <v>5</v>
      </c>
      <c r="BB5" s="5" t="s">
        <v>6</v>
      </c>
      <c r="BC5" s="5" t="s">
        <v>7</v>
      </c>
    </row>
    <row r="6" spans="2:55" ht="15" customHeight="1" x14ac:dyDescent="0.2">
      <c r="B6" s="86" t="s">
        <v>11</v>
      </c>
      <c r="C6" s="6">
        <v>98918</v>
      </c>
      <c r="D6" s="7" t="s">
        <v>12</v>
      </c>
      <c r="E6" s="7" t="s">
        <v>13</v>
      </c>
      <c r="G6" s="8">
        <v>27.546338404407106</v>
      </c>
      <c r="H6" s="9">
        <v>332.6</v>
      </c>
      <c r="I6" s="10">
        <v>66.802591720625372</v>
      </c>
      <c r="J6" s="11">
        <f t="shared" ref="J6:J23" si="0">G6+I6</f>
        <v>94.348930125032481</v>
      </c>
      <c r="L6" s="8">
        <v>135.89869372069199</v>
      </c>
      <c r="M6" s="9">
        <v>1584.23</v>
      </c>
      <c r="N6" s="12">
        <v>0.79610831935499993</v>
      </c>
      <c r="O6" s="11">
        <f t="shared" ref="O6:O23" si="1">L6+N6</f>
        <v>136.69480204004699</v>
      </c>
      <c r="Q6" s="9">
        <v>37.187556845949594</v>
      </c>
      <c r="R6" s="9">
        <v>449.01000000000005</v>
      </c>
      <c r="S6" s="14">
        <v>66.802591720625372</v>
      </c>
      <c r="T6" s="11">
        <f t="shared" ref="T6:T24" si="2">Q6+S6</f>
        <v>103.99014856657496</v>
      </c>
      <c r="V6" s="21">
        <f>W6*[1]FX!$K$4/1000</f>
        <v>124.23183285210661</v>
      </c>
      <c r="W6" s="9">
        <v>1500</v>
      </c>
      <c r="X6" s="42">
        <v>30</v>
      </c>
      <c r="Y6" s="13">
        <f t="shared" ref="Y6:Y24" si="3">V6+X6</f>
        <v>154.23183285210661</v>
      </c>
      <c r="Z6"/>
      <c r="AA6" s="15">
        <f>(AB6*FX!$J$4)/1000</f>
        <v>44.07414144705136</v>
      </c>
      <c r="AB6" s="16">
        <v>532.16</v>
      </c>
      <c r="AC6" s="15">
        <v>66.802591720625372</v>
      </c>
      <c r="AD6" s="17">
        <f t="shared" ref="AD6:AD20" si="4">AA6+AC6</f>
        <v>110.87673316767673</v>
      </c>
      <c r="AF6" s="15">
        <f>(AG6*FX!$J$4)/1000</f>
        <v>44.07414144705136</v>
      </c>
      <c r="AG6" s="16">
        <v>532.16</v>
      </c>
      <c r="AH6" s="15">
        <v>66.802591720625372</v>
      </c>
      <c r="AI6" s="17">
        <f t="shared" ref="AI6:AI24" si="5">AF6+AH6</f>
        <v>110.87673316767673</v>
      </c>
      <c r="AJ6"/>
      <c r="AK6" s="15">
        <f>(AL6*FX!$J$4)/1000</f>
        <v>28.923655324627457</v>
      </c>
      <c r="AL6" s="16">
        <v>349.22999999999996</v>
      </c>
      <c r="AM6" s="18">
        <v>5.8935008115344596</v>
      </c>
      <c r="AN6" s="17">
        <f t="shared" ref="AN6:AN24" si="6">AK6+AM6</f>
        <v>34.81715613616192</v>
      </c>
      <c r="AP6" s="15">
        <f>(AQ6*FX!$J$4)/1000</f>
        <v>28.923655324627457</v>
      </c>
      <c r="AQ6" s="16">
        <v>349.22999999999996</v>
      </c>
      <c r="AR6" s="18">
        <v>5.8935008115344596</v>
      </c>
      <c r="AS6" s="17">
        <f t="shared" ref="AS6:AS24" si="7">AP6+AR6</f>
        <v>34.81715613616192</v>
      </c>
      <c r="AU6" s="8">
        <f t="shared" ref="AU6:AU23" si="8">G6+Q6+AA6+AK6</f>
        <v>137.7316920220355</v>
      </c>
      <c r="AV6" s="9">
        <f t="shared" ref="AV6:AV23" si="9">H6+R6+AB6+AL6</f>
        <v>1663</v>
      </c>
      <c r="AW6" s="10">
        <f t="shared" ref="AW6:AW23" si="10">I6+S6+AC6+AM6</f>
        <v>206.30127597341058</v>
      </c>
      <c r="AX6" s="11">
        <f>AU6+AW6</f>
        <v>344.03296799544609</v>
      </c>
      <c r="AZ6" s="8">
        <f>AP6+AF6+V6+L6</f>
        <v>333.12832334447739</v>
      </c>
      <c r="BA6" s="8">
        <f>AQ6+AG6+W6+M6</f>
        <v>3965.62</v>
      </c>
      <c r="BB6" s="8">
        <f>AR6+AH6+X6+N6</f>
        <v>103.49220085151484</v>
      </c>
      <c r="BC6" s="11">
        <f>AZ6+BB6</f>
        <v>436.62052419599223</v>
      </c>
    </row>
    <row r="7" spans="2:55" x14ac:dyDescent="0.2">
      <c r="B7" s="86"/>
      <c r="C7" s="19">
        <v>98919</v>
      </c>
      <c r="D7" s="7" t="s">
        <v>12</v>
      </c>
      <c r="E7" s="7" t="s">
        <v>14</v>
      </c>
      <c r="G7" s="15">
        <v>61.912176220175851</v>
      </c>
      <c r="H7" s="16">
        <v>747.54000000000008</v>
      </c>
      <c r="I7" s="18">
        <v>31.518751315584979</v>
      </c>
      <c r="J7" s="17">
        <f t="shared" si="0"/>
        <v>93.43092753576083</v>
      </c>
      <c r="L7" s="15">
        <v>0</v>
      </c>
      <c r="M7" s="16">
        <v>866.83999999999992</v>
      </c>
      <c r="N7" s="20">
        <v>47.131348054</v>
      </c>
      <c r="O7" s="17">
        <f t="shared" si="1"/>
        <v>47.131348054</v>
      </c>
      <c r="Q7" s="16">
        <v>83.581437897237393</v>
      </c>
      <c r="R7" s="16">
        <v>1009.1790000000001</v>
      </c>
      <c r="S7" s="23">
        <v>122.88238767922131</v>
      </c>
      <c r="T7" s="17">
        <f t="shared" si="2"/>
        <v>206.4638255764587</v>
      </c>
      <c r="V7" s="21">
        <f>W7*[1]FX!$K$4/1000</f>
        <v>64.931837970701039</v>
      </c>
      <c r="W7" s="21">
        <v>784</v>
      </c>
      <c r="X7" s="21">
        <v>30</v>
      </c>
      <c r="Y7" s="22">
        <f t="shared" si="3"/>
        <v>94.931837970701039</v>
      </c>
      <c r="Z7"/>
      <c r="AA7" s="15">
        <f>(AB7*FX!$J$4)/1000</f>
        <v>99.059481952281359</v>
      </c>
      <c r="AB7" s="16">
        <v>1196.0640000000001</v>
      </c>
      <c r="AC7" s="15">
        <v>122.88238767922131</v>
      </c>
      <c r="AD7" s="17">
        <f t="shared" si="4"/>
        <v>221.94186963150267</v>
      </c>
      <c r="AF7" s="15">
        <f>(AG7*FX!$J$4)/1000</f>
        <v>99.059481952281359</v>
      </c>
      <c r="AG7" s="16">
        <v>1196.0640000000001</v>
      </c>
      <c r="AH7" s="15">
        <v>122.88238767922131</v>
      </c>
      <c r="AI7" s="17">
        <f t="shared" si="5"/>
        <v>221.94186963150267</v>
      </c>
      <c r="AJ7"/>
      <c r="AK7" s="15">
        <f>(AL7*FX!$J$4)/1000</f>
        <v>65.007785031184639</v>
      </c>
      <c r="AL7" s="16">
        <v>784.91700000000003</v>
      </c>
      <c r="AM7" s="18">
        <v>122.88238767922131</v>
      </c>
      <c r="AN7" s="17">
        <f t="shared" si="6"/>
        <v>187.89017271040595</v>
      </c>
      <c r="AP7" s="15">
        <f>(AQ7*FX!$J$4)/1000</f>
        <v>65.007785031184639</v>
      </c>
      <c r="AQ7" s="16">
        <v>784.91700000000003</v>
      </c>
      <c r="AR7" s="18">
        <v>122.88238767922131</v>
      </c>
      <c r="AS7" s="17">
        <f t="shared" si="7"/>
        <v>187.89017271040595</v>
      </c>
      <c r="AU7" s="15">
        <f t="shared" si="8"/>
        <v>309.56088110087927</v>
      </c>
      <c r="AV7" s="16">
        <f t="shared" si="9"/>
        <v>3737.7000000000003</v>
      </c>
      <c r="AW7" s="18">
        <f t="shared" si="10"/>
        <v>400.16591435324892</v>
      </c>
      <c r="AX7" s="17">
        <f t="shared" ref="AX7:AX24" si="11">AU7+AW7</f>
        <v>709.72679545412825</v>
      </c>
      <c r="AZ7" s="15">
        <f t="shared" ref="AZ7:AZ24" si="12">AP7+AF7+V7+L7</f>
        <v>228.99910495416702</v>
      </c>
      <c r="BA7" s="16">
        <f t="shared" ref="BA7:BA24" si="13">AQ7+AG7+W7+M7</f>
        <v>3631.8209999999999</v>
      </c>
      <c r="BB7" s="18">
        <f t="shared" ref="BB7:BB24" si="14">AR7+AH7+X7+N7</f>
        <v>322.89612341244265</v>
      </c>
      <c r="BC7" s="17">
        <f t="shared" ref="BC7:BC24" si="15">AZ7+BB7</f>
        <v>551.89522836660967</v>
      </c>
    </row>
    <row r="8" spans="2:55" x14ac:dyDescent="0.2">
      <c r="B8" s="86"/>
      <c r="C8" s="19">
        <v>114197</v>
      </c>
      <c r="D8" s="7" t="s">
        <v>12</v>
      </c>
      <c r="E8" s="7" t="s">
        <v>15</v>
      </c>
      <c r="G8" s="15">
        <v>18.932931326661048</v>
      </c>
      <c r="H8" s="16">
        <v>228.60000000000002</v>
      </c>
      <c r="I8" s="18">
        <v>126.02112888555308</v>
      </c>
      <c r="J8" s="17">
        <f t="shared" si="0"/>
        <v>144.95406021221413</v>
      </c>
      <c r="L8" s="15">
        <v>44.595072153022002</v>
      </c>
      <c r="M8" s="16">
        <v>520.73</v>
      </c>
      <c r="N8" s="20">
        <v>23.782567577089999</v>
      </c>
      <c r="O8" s="17">
        <f t="shared" si="1"/>
        <v>68.377639730112008</v>
      </c>
      <c r="Q8" s="16">
        <v>25.559457290992412</v>
      </c>
      <c r="R8" s="16">
        <v>308.61</v>
      </c>
      <c r="S8" s="23">
        <v>126.02112888555308</v>
      </c>
      <c r="T8" s="17">
        <f t="shared" si="2"/>
        <v>151.58058617654549</v>
      </c>
      <c r="V8" s="21">
        <f>W8*[1]FX!$K$4/1000</f>
        <v>37.269549855631979</v>
      </c>
      <c r="W8" s="21">
        <v>450</v>
      </c>
      <c r="X8" s="21">
        <v>21.43</v>
      </c>
      <c r="Y8" s="22">
        <f t="shared" si="3"/>
        <v>58.699549855631979</v>
      </c>
      <c r="Z8"/>
      <c r="AA8" s="15">
        <f>(AB8*FX!$J$4)/1000</f>
        <v>30.292690122657675</v>
      </c>
      <c r="AB8" s="16">
        <v>365.76</v>
      </c>
      <c r="AC8" s="15">
        <v>4.050674340098551</v>
      </c>
      <c r="AD8" s="17">
        <f t="shared" si="4"/>
        <v>34.343364462756227</v>
      </c>
      <c r="AF8" s="15">
        <f>(AG8*FX!$J$4)/1000</f>
        <v>30.292690122657675</v>
      </c>
      <c r="AG8" s="16">
        <v>365.76</v>
      </c>
      <c r="AH8" s="15">
        <v>4.050674340098551</v>
      </c>
      <c r="AI8" s="17">
        <f t="shared" si="5"/>
        <v>34.343364462756227</v>
      </c>
      <c r="AJ8"/>
      <c r="AK8" s="15">
        <f>(AL8*FX!$J$4)/1000</f>
        <v>19.879577892994096</v>
      </c>
      <c r="AL8" s="16">
        <v>240.03</v>
      </c>
      <c r="AM8" s="18">
        <v>4.050674340098551</v>
      </c>
      <c r="AN8" s="17">
        <f t="shared" si="6"/>
        <v>23.930252233092645</v>
      </c>
      <c r="AP8" s="15">
        <f>(AQ8*FX!$J$4)/1000</f>
        <v>19.879577892994096</v>
      </c>
      <c r="AQ8" s="16">
        <v>240.03</v>
      </c>
      <c r="AR8" s="18">
        <v>4.050674340098551</v>
      </c>
      <c r="AS8" s="17">
        <f t="shared" si="7"/>
        <v>23.930252233092645</v>
      </c>
      <c r="AU8" s="15">
        <f t="shared" si="8"/>
        <v>94.664656633305228</v>
      </c>
      <c r="AV8" s="16">
        <f t="shared" si="9"/>
        <v>1143</v>
      </c>
      <c r="AW8" s="18">
        <f t="shared" si="10"/>
        <v>260.1436064513033</v>
      </c>
      <c r="AX8" s="17">
        <f t="shared" si="11"/>
        <v>354.80826308460854</v>
      </c>
      <c r="AZ8" s="15">
        <f t="shared" si="12"/>
        <v>132.03689002430576</v>
      </c>
      <c r="BA8" s="16">
        <f t="shared" si="13"/>
        <v>1576.52</v>
      </c>
      <c r="BB8" s="18">
        <f t="shared" si="14"/>
        <v>53.313916257287104</v>
      </c>
      <c r="BC8" s="17">
        <f t="shared" si="15"/>
        <v>185.35080628159287</v>
      </c>
    </row>
    <row r="9" spans="2:55" x14ac:dyDescent="0.2">
      <c r="B9" s="86"/>
      <c r="C9" s="24">
        <v>104627</v>
      </c>
      <c r="D9" s="7" t="s">
        <v>12</v>
      </c>
      <c r="E9" s="25" t="s">
        <v>16</v>
      </c>
      <c r="G9" s="15">
        <v>67.13488247327841</v>
      </c>
      <c r="H9" s="16">
        <v>810.6</v>
      </c>
      <c r="I9" s="18">
        <v>105.72705114965508</v>
      </c>
      <c r="J9" s="17">
        <f t="shared" si="0"/>
        <v>172.86193362293349</v>
      </c>
      <c r="L9" s="15">
        <v>41.480021855364996</v>
      </c>
      <c r="M9" s="16">
        <v>574.92000000000007</v>
      </c>
      <c r="N9" s="20">
        <v>-30.093706002272</v>
      </c>
      <c r="O9" s="17">
        <f t="shared" si="1"/>
        <v>11.386315853092995</v>
      </c>
      <c r="Q9" s="16">
        <v>90.632091338925861</v>
      </c>
      <c r="R9" s="16">
        <v>1094.3100000000002</v>
      </c>
      <c r="S9" s="23">
        <v>233.63614205874597</v>
      </c>
      <c r="T9" s="17">
        <f t="shared" si="2"/>
        <v>324.26823339767185</v>
      </c>
      <c r="V9" s="21">
        <f>W9*[1]FX!$K$4/1000</f>
        <v>53.58533057020864</v>
      </c>
      <c r="W9" s="21">
        <v>647</v>
      </c>
      <c r="X9" s="21">
        <v>0</v>
      </c>
      <c r="Y9" s="22">
        <f t="shared" si="3"/>
        <v>53.58533057020864</v>
      </c>
      <c r="Z9"/>
      <c r="AA9" s="15">
        <f>(AB9*FX!$J$4)/1000</f>
        <v>107.41581195724547</v>
      </c>
      <c r="AB9" s="16">
        <v>1296.96</v>
      </c>
      <c r="AC9" s="15">
        <v>290.28159660420062</v>
      </c>
      <c r="AD9" s="17">
        <f t="shared" si="4"/>
        <v>397.69740856144608</v>
      </c>
      <c r="AF9" s="15">
        <f>(AG9*FX!$J$4)/1000</f>
        <v>107.41581195724547</v>
      </c>
      <c r="AG9" s="16">
        <v>1296.96</v>
      </c>
      <c r="AH9" s="15">
        <v>290.28159660420062</v>
      </c>
      <c r="AI9" s="17">
        <f t="shared" si="5"/>
        <v>397.69740856144608</v>
      </c>
      <c r="AJ9"/>
      <c r="AK9" s="15">
        <f>(AL9*FX!$J$4)/1000</f>
        <v>70.491626596942325</v>
      </c>
      <c r="AL9" s="16">
        <v>851.13</v>
      </c>
      <c r="AM9" s="18">
        <v>14.363414786018732</v>
      </c>
      <c r="AN9" s="17">
        <f t="shared" si="6"/>
        <v>84.855041382961062</v>
      </c>
      <c r="AP9" s="15">
        <f>(AQ9*FX!$J$4)/1000</f>
        <v>70.491626596942325</v>
      </c>
      <c r="AQ9" s="16">
        <v>851.13</v>
      </c>
      <c r="AR9" s="18">
        <v>14.363414786018732</v>
      </c>
      <c r="AS9" s="17">
        <f t="shared" si="7"/>
        <v>84.855041382961062</v>
      </c>
      <c r="AU9" s="15">
        <f t="shared" si="8"/>
        <v>335.67441236639206</v>
      </c>
      <c r="AV9" s="16">
        <f t="shared" si="9"/>
        <v>4053.0000000000005</v>
      </c>
      <c r="AW9" s="18">
        <f t="shared" si="10"/>
        <v>644.00820459862041</v>
      </c>
      <c r="AX9" s="17">
        <f t="shared" si="11"/>
        <v>979.68261696501247</v>
      </c>
      <c r="AZ9" s="15">
        <f t="shared" si="12"/>
        <v>272.97279097976144</v>
      </c>
      <c r="BA9" s="16">
        <f t="shared" si="13"/>
        <v>3370.01</v>
      </c>
      <c r="BB9" s="18">
        <f t="shared" si="14"/>
        <v>274.55130538794731</v>
      </c>
      <c r="BC9" s="17">
        <f t="shared" si="15"/>
        <v>547.52409636770881</v>
      </c>
    </row>
    <row r="10" spans="2:55" x14ac:dyDescent="0.2">
      <c r="B10" s="86"/>
      <c r="C10" s="24">
        <v>107026</v>
      </c>
      <c r="D10" s="7" t="s">
        <v>12</v>
      </c>
      <c r="E10" s="25" t="s">
        <v>17</v>
      </c>
      <c r="G10" s="15">
        <v>66.472312698067171</v>
      </c>
      <c r="H10" s="16">
        <v>802.6</v>
      </c>
      <c r="I10" s="18">
        <v>195.12165890360058</v>
      </c>
      <c r="J10" s="17">
        <f t="shared" si="0"/>
        <v>261.59397160166776</v>
      </c>
      <c r="L10" s="16">
        <v>86.127067146099989</v>
      </c>
      <c r="M10" s="16">
        <v>1115.8800000000001</v>
      </c>
      <c r="N10" s="20">
        <v>246.66103973337798</v>
      </c>
      <c r="O10" s="17">
        <f t="shared" si="1"/>
        <v>332.78810687947794</v>
      </c>
      <c r="Q10" s="16">
        <v>89.737622142390677</v>
      </c>
      <c r="R10" s="16">
        <v>1083.51</v>
      </c>
      <c r="S10" s="23">
        <v>176.81357383560479</v>
      </c>
      <c r="T10" s="17">
        <f t="shared" si="2"/>
        <v>266.55119597799546</v>
      </c>
      <c r="V10" s="21">
        <f>W10*[1]FX!$K$4/1000</f>
        <v>66.836726074433344</v>
      </c>
      <c r="W10" s="21">
        <v>807</v>
      </c>
      <c r="X10" s="21">
        <v>2</v>
      </c>
      <c r="Y10" s="22">
        <f t="shared" si="3"/>
        <v>68.836726074433344</v>
      </c>
      <c r="Z10"/>
      <c r="AA10" s="15">
        <f>(AB10*FX!$J$4)/1000</f>
        <v>106.35570031690747</v>
      </c>
      <c r="AB10" s="16">
        <v>1284.1600000000001</v>
      </c>
      <c r="AC10" s="15">
        <v>14.221658903600604</v>
      </c>
      <c r="AD10" s="17">
        <f t="shared" si="4"/>
        <v>120.57735922050807</v>
      </c>
      <c r="AF10" s="15">
        <f>(AG10*FX!$J$4)/1000</f>
        <v>106.35570031690747</v>
      </c>
      <c r="AG10" s="16">
        <v>1284.1600000000001</v>
      </c>
      <c r="AH10" s="15">
        <v>14.221658903600604</v>
      </c>
      <c r="AI10" s="17">
        <f t="shared" si="5"/>
        <v>120.57735922050807</v>
      </c>
      <c r="AJ10"/>
      <c r="AK10" s="15">
        <f>(AL10*FX!$J$4)/1000</f>
        <v>69.795928332970533</v>
      </c>
      <c r="AL10" s="16">
        <v>842.73</v>
      </c>
      <c r="AM10" s="18">
        <v>14.221658903600604</v>
      </c>
      <c r="AN10" s="17">
        <f t="shared" si="6"/>
        <v>84.017587236571131</v>
      </c>
      <c r="AP10" s="15">
        <f>(AQ10*FX!$J$4)/1000</f>
        <v>69.795928332970533</v>
      </c>
      <c r="AQ10" s="16">
        <v>842.73</v>
      </c>
      <c r="AR10" s="18">
        <v>14.221658903600604</v>
      </c>
      <c r="AS10" s="17">
        <f t="shared" si="7"/>
        <v>84.017587236571131</v>
      </c>
      <c r="AU10" s="15">
        <f t="shared" si="8"/>
        <v>332.36156349033581</v>
      </c>
      <c r="AV10" s="16">
        <f t="shared" si="9"/>
        <v>4013.0000000000005</v>
      </c>
      <c r="AW10" s="18">
        <f t="shared" si="10"/>
        <v>400.37855054640659</v>
      </c>
      <c r="AX10" s="17">
        <f t="shared" si="11"/>
        <v>732.7401140367424</v>
      </c>
      <c r="AZ10" s="15">
        <f t="shared" si="12"/>
        <v>329.11542187041135</v>
      </c>
      <c r="BA10" s="16">
        <f t="shared" si="13"/>
        <v>4049.7700000000004</v>
      </c>
      <c r="BB10" s="18">
        <f t="shared" si="14"/>
        <v>277.1043575405792</v>
      </c>
      <c r="BC10" s="17">
        <f t="shared" si="15"/>
        <v>606.21977941099055</v>
      </c>
    </row>
    <row r="11" spans="2:55" s="57" customFormat="1" x14ac:dyDescent="0.2">
      <c r="B11" s="86"/>
      <c r="C11" s="55">
        <v>98925</v>
      </c>
      <c r="D11" s="56" t="s">
        <v>18</v>
      </c>
      <c r="E11" s="56" t="s">
        <v>19</v>
      </c>
      <c r="G11" s="58">
        <v>73.280217138362616</v>
      </c>
      <c r="H11" s="58">
        <v>884.80000000000007</v>
      </c>
      <c r="I11" s="59">
        <v>209.82592786817429</v>
      </c>
      <c r="J11" s="60">
        <f t="shared" si="0"/>
        <v>283.10614500653691</v>
      </c>
      <c r="L11" s="58">
        <v>130.399955737103</v>
      </c>
      <c r="M11" s="58">
        <v>1492.75</v>
      </c>
      <c r="N11" s="61">
        <v>320.13494986899002</v>
      </c>
      <c r="O11" s="60">
        <f t="shared" si="1"/>
        <v>450.53490560609305</v>
      </c>
      <c r="Q11" s="58">
        <v>98.92829313678952</v>
      </c>
      <c r="R11" s="58">
        <v>1194.48</v>
      </c>
      <c r="S11" s="59">
        <v>209.82592786817429</v>
      </c>
      <c r="T11" s="60">
        <f t="shared" si="2"/>
        <v>308.75422100496382</v>
      </c>
      <c r="V11" s="62">
        <f>W11*[1]FX!$K$4/1000</f>
        <v>98.92829313678952</v>
      </c>
      <c r="W11" s="62">
        <v>1194.48</v>
      </c>
      <c r="X11" s="62">
        <v>210</v>
      </c>
      <c r="Y11" s="63">
        <f t="shared" si="3"/>
        <v>308.92829313678953</v>
      </c>
      <c r="AA11" s="58">
        <f>(AB11*FX!$J$4)/1000</f>
        <v>117.24834742138019</v>
      </c>
      <c r="AB11" s="58">
        <v>1415.68</v>
      </c>
      <c r="AC11" s="58">
        <v>186.98501877726522</v>
      </c>
      <c r="AD11" s="60">
        <f t="shared" si="4"/>
        <v>304.2333661986454</v>
      </c>
      <c r="AF11" s="58">
        <f>(AG11*FX!$J$4)/1000</f>
        <v>117.24834742138019</v>
      </c>
      <c r="AG11" s="58">
        <v>1415.68</v>
      </c>
      <c r="AH11" s="58">
        <f>186.985018777265-45</f>
        <v>141.985018777265</v>
      </c>
      <c r="AI11" s="60">
        <f t="shared" si="5"/>
        <v>259.23336619864517</v>
      </c>
      <c r="AK11" s="58">
        <f>(AL11*FX!$J$4)/1000</f>
        <v>76.944227995280741</v>
      </c>
      <c r="AL11" s="58">
        <v>929.04</v>
      </c>
      <c r="AM11" s="59">
        <v>141.30320059544704</v>
      </c>
      <c r="AN11" s="60">
        <f t="shared" si="6"/>
        <v>218.24742859072779</v>
      </c>
      <c r="AP11" s="58">
        <f>(AQ11*FX!$J$4)/1000</f>
        <v>76.944227995280741</v>
      </c>
      <c r="AQ11" s="58">
        <v>929.04</v>
      </c>
      <c r="AR11" s="59">
        <v>141.30320059544704</v>
      </c>
      <c r="AS11" s="60">
        <f t="shared" si="7"/>
        <v>218.24742859072779</v>
      </c>
      <c r="AU11" s="58">
        <f t="shared" si="8"/>
        <v>366.40108569181308</v>
      </c>
      <c r="AV11" s="58">
        <f t="shared" si="9"/>
        <v>4424</v>
      </c>
      <c r="AW11" s="59">
        <f t="shared" si="10"/>
        <v>747.94007510906079</v>
      </c>
      <c r="AX11" s="60">
        <f t="shared" si="11"/>
        <v>1114.3411608008739</v>
      </c>
      <c r="AZ11" s="58">
        <f t="shared" si="12"/>
        <v>423.52082429055349</v>
      </c>
      <c r="BA11" s="58">
        <f t="shared" si="13"/>
        <v>5031.9500000000007</v>
      </c>
      <c r="BB11" s="59">
        <f t="shared" si="14"/>
        <v>813.423169241702</v>
      </c>
      <c r="BC11" s="60">
        <f t="shared" si="15"/>
        <v>1236.9439935322555</v>
      </c>
    </row>
    <row r="12" spans="2:55" s="57" customFormat="1" x14ac:dyDescent="0.2">
      <c r="B12" s="86"/>
      <c r="C12" s="64">
        <v>98923</v>
      </c>
      <c r="D12" s="56" t="s">
        <v>18</v>
      </c>
      <c r="E12" s="56" t="s">
        <v>20</v>
      </c>
      <c r="G12" s="58">
        <v>314.72064322533674</v>
      </c>
      <c r="H12" s="58">
        <v>3800</v>
      </c>
      <c r="I12" s="59">
        <v>531.00449869407441</v>
      </c>
      <c r="J12" s="60">
        <f>G12+I12</f>
        <v>845.72514191941116</v>
      </c>
      <c r="L12" s="58">
        <v>282.533039778957</v>
      </c>
      <c r="M12" s="58">
        <v>3346.75</v>
      </c>
      <c r="N12" s="61">
        <v>533.92583624868007</v>
      </c>
      <c r="O12" s="60">
        <f>L12+N12</f>
        <v>816.45887602763707</v>
      </c>
      <c r="Q12" s="58">
        <v>424.87286835420457</v>
      </c>
      <c r="R12" s="58">
        <v>5130</v>
      </c>
      <c r="S12" s="59">
        <v>531.00449869407441</v>
      </c>
      <c r="T12" s="60">
        <f>Q12+S12</f>
        <v>955.87736704827898</v>
      </c>
      <c r="V12" s="62">
        <f>W12*[1]FX!$K$4/1000</f>
        <v>306.43852103519623</v>
      </c>
      <c r="W12" s="62">
        <v>3700</v>
      </c>
      <c r="X12" s="62">
        <v>560</v>
      </c>
      <c r="Y12" s="63">
        <f t="shared" si="3"/>
        <v>866.43852103519623</v>
      </c>
      <c r="AA12" s="58">
        <f>(AB12*FX!$J$4)/1000</f>
        <v>503.55302916053876</v>
      </c>
      <c r="AB12" s="58">
        <v>6080</v>
      </c>
      <c r="AC12" s="58">
        <v>476.18631687589254</v>
      </c>
      <c r="AD12" s="60">
        <f>AA12+AC12</f>
        <v>979.73934603643124</v>
      </c>
      <c r="AF12" s="58">
        <f>(AG12*FX!$J$4)/1000</f>
        <v>503.55302916053876</v>
      </c>
      <c r="AG12" s="58">
        <v>6080</v>
      </c>
      <c r="AH12" s="58">
        <v>476.18631687589254</v>
      </c>
      <c r="AI12" s="60">
        <f t="shared" si="5"/>
        <v>979.73934603643124</v>
      </c>
      <c r="AK12" s="58">
        <f>(AL12*FX!$J$4)/1000</f>
        <v>330.45667538660359</v>
      </c>
      <c r="AL12" s="58">
        <v>3990</v>
      </c>
      <c r="AM12" s="59">
        <v>439.64086233043793</v>
      </c>
      <c r="AN12" s="60">
        <f>AK12+AM12</f>
        <v>770.09753771704152</v>
      </c>
      <c r="AP12" s="58">
        <f>(AQ12*FX!$J$4)/1000</f>
        <v>330.45667538660359</v>
      </c>
      <c r="AQ12" s="58">
        <v>3990</v>
      </c>
      <c r="AR12" s="59">
        <v>439.64086233043793</v>
      </c>
      <c r="AS12" s="60">
        <f t="shared" si="7"/>
        <v>770.09753771704152</v>
      </c>
      <c r="AU12" s="58">
        <f t="shared" si="8"/>
        <v>1573.6032161266837</v>
      </c>
      <c r="AV12" s="58">
        <f t="shared" si="9"/>
        <v>19000</v>
      </c>
      <c r="AW12" s="59">
        <f t="shared" si="10"/>
        <v>1977.8361765944792</v>
      </c>
      <c r="AX12" s="60">
        <f t="shared" si="11"/>
        <v>3551.4393927211631</v>
      </c>
      <c r="AZ12" s="58">
        <f t="shared" si="12"/>
        <v>1422.9812653612958</v>
      </c>
      <c r="BA12" s="58">
        <f t="shared" si="13"/>
        <v>17116.75</v>
      </c>
      <c r="BB12" s="59">
        <f t="shared" si="14"/>
        <v>2009.7530154550107</v>
      </c>
      <c r="BC12" s="60">
        <f t="shared" si="15"/>
        <v>3432.7342808163066</v>
      </c>
    </row>
    <row r="13" spans="2:55" s="67" customFormat="1" x14ac:dyDescent="0.2">
      <c r="B13" s="86"/>
      <c r="C13" s="65">
        <v>98923</v>
      </c>
      <c r="D13" s="66" t="s">
        <v>18</v>
      </c>
      <c r="E13" s="66" t="s">
        <v>20</v>
      </c>
      <c r="G13" s="68">
        <v>314.72064322533674</v>
      </c>
      <c r="H13" s="68">
        <v>3800</v>
      </c>
      <c r="I13" s="69">
        <v>531.00449869407441</v>
      </c>
      <c r="J13" s="60">
        <f>G13+I13</f>
        <v>845.72514191941116</v>
      </c>
      <c r="K13" s="71"/>
      <c r="L13" s="72">
        <v>282.533039778957</v>
      </c>
      <c r="M13" s="72">
        <v>3346.75</v>
      </c>
      <c r="N13" s="61">
        <v>533.92583624868007</v>
      </c>
      <c r="O13" s="60">
        <f>L13+N13</f>
        <v>816.45887602763707</v>
      </c>
      <c r="P13" s="71"/>
      <c r="Q13" s="72">
        <v>424.87286835420457</v>
      </c>
      <c r="R13" s="72">
        <v>5130</v>
      </c>
      <c r="S13" s="73">
        <v>531.00449869407441</v>
      </c>
      <c r="T13" s="60">
        <f>Q13+S13</f>
        <v>955.87736704827898</v>
      </c>
      <c r="U13" s="71"/>
      <c r="V13" s="74">
        <f>W13*[1]FX!$K$4/1000</f>
        <v>306.43852103519623</v>
      </c>
      <c r="W13" s="74">
        <v>3700</v>
      </c>
      <c r="X13" s="74">
        <v>560</v>
      </c>
      <c r="Y13" s="63">
        <f t="shared" ref="Y13" si="16">V13+X13</f>
        <v>866.43852103519623</v>
      </c>
      <c r="AA13" s="68">
        <f>(AB13*FX!$J$4)/1000</f>
        <v>331.2848876056176</v>
      </c>
      <c r="AB13" s="68">
        <v>4000</v>
      </c>
      <c r="AC13" s="68">
        <v>570</v>
      </c>
      <c r="AD13" s="70">
        <f>AA13+AC13</f>
        <v>901.28488760561754</v>
      </c>
      <c r="AF13" s="68">
        <f>(AG13*FX!$J$4)/1000</f>
        <v>503.55302916053876</v>
      </c>
      <c r="AG13" s="68">
        <v>6080</v>
      </c>
      <c r="AH13" s="68">
        <v>476.18631687589254</v>
      </c>
      <c r="AI13" s="70">
        <f t="shared" ref="AI13" si="17">AF13+AH13</f>
        <v>979.73934603643124</v>
      </c>
      <c r="AK13" s="68">
        <f>(AL13*FX!$J$4)/1000</f>
        <v>331.2848876056176</v>
      </c>
      <c r="AL13" s="68">
        <v>4000</v>
      </c>
      <c r="AM13" s="69">
        <v>500</v>
      </c>
      <c r="AN13" s="70">
        <f>AK13+AM13</f>
        <v>831.28488760561754</v>
      </c>
      <c r="AP13" s="68">
        <f>(AQ13*FX!$J$4)/1000</f>
        <v>330.45667538660359</v>
      </c>
      <c r="AQ13" s="68">
        <v>3990</v>
      </c>
      <c r="AR13" s="69">
        <v>439.64086233043793</v>
      </c>
      <c r="AS13" s="70">
        <f t="shared" ref="AS13" si="18">AP13+AR13</f>
        <v>770.09753771704152</v>
      </c>
      <c r="AU13" s="68">
        <f t="shared" ref="AU13" si="19">G13+Q13+AA13+AK13</f>
        <v>1402.1632867907765</v>
      </c>
      <c r="AV13" s="68">
        <f t="shared" ref="AV13" si="20">H13+R13+AB13+AL13</f>
        <v>16930</v>
      </c>
      <c r="AW13" s="69">
        <f t="shared" ref="AW13" si="21">I13+S13+AC13+AM13</f>
        <v>2132.0089973881486</v>
      </c>
      <c r="AX13" s="70">
        <f t="shared" ref="AX13" si="22">AU13+AW13</f>
        <v>3534.1722841789251</v>
      </c>
      <c r="AZ13" s="68">
        <f t="shared" ref="AZ13" si="23">AP13+AF13+V13+L13</f>
        <v>1422.9812653612958</v>
      </c>
      <c r="BA13" s="68">
        <f t="shared" ref="BA13" si="24">AQ13+AG13+W13+M13</f>
        <v>17116.75</v>
      </c>
      <c r="BB13" s="69">
        <f t="shared" ref="BB13" si="25">AR13+AH13+X13+N13</f>
        <v>2009.7530154550107</v>
      </c>
      <c r="BC13" s="70">
        <f t="shared" ref="BC13" si="26">AZ13+BB13</f>
        <v>3432.7342808163066</v>
      </c>
    </row>
    <row r="14" spans="2:55" x14ac:dyDescent="0.2">
      <c r="B14" s="86"/>
      <c r="C14" s="24">
        <v>98894</v>
      </c>
      <c r="D14" s="26" t="s">
        <v>21</v>
      </c>
      <c r="E14" s="7" t="s">
        <v>22</v>
      </c>
      <c r="G14" s="15">
        <v>19.264216214266664</v>
      </c>
      <c r="H14" s="16">
        <v>232.60000000000002</v>
      </c>
      <c r="I14" s="18">
        <v>61.223825008580341</v>
      </c>
      <c r="J14" s="17">
        <f t="shared" si="0"/>
        <v>80.488041222847002</v>
      </c>
      <c r="L14" s="16">
        <v>272.46228246439</v>
      </c>
      <c r="M14" s="16">
        <v>3155</v>
      </c>
      <c r="N14" s="20">
        <v>70.868009953254983</v>
      </c>
      <c r="O14" s="17">
        <f t="shared" si="1"/>
        <v>343.33029241764496</v>
      </c>
      <c r="Q14" s="16">
        <v>26.006691889260001</v>
      </c>
      <c r="R14" s="16">
        <v>3100</v>
      </c>
      <c r="S14" s="23">
        <v>61.223825008580341</v>
      </c>
      <c r="T14" s="17">
        <f t="shared" si="2"/>
        <v>87.230516897840346</v>
      </c>
      <c r="V14" s="21">
        <f>W14*[1]FX!$K$4/1000</f>
        <v>207.05305475351102</v>
      </c>
      <c r="W14" s="21">
        <v>2500</v>
      </c>
      <c r="X14" s="21">
        <v>61.223825008580341</v>
      </c>
      <c r="Y14" s="22">
        <f t="shared" si="3"/>
        <v>268.27687976209137</v>
      </c>
      <c r="Z14"/>
      <c r="AA14" s="15">
        <f>(AB14*FX!$J$4)/1000</f>
        <v>30.822745942826664</v>
      </c>
      <c r="AB14" s="16">
        <v>372.16</v>
      </c>
      <c r="AC14" s="15">
        <v>61.223825008580341</v>
      </c>
      <c r="AD14" s="17">
        <f t="shared" si="4"/>
        <v>92.046570951407006</v>
      </c>
      <c r="AF14" s="15">
        <f>(AG14*FX!$J$4)/1000</f>
        <v>30.822745942826664</v>
      </c>
      <c r="AG14" s="16">
        <v>372.16</v>
      </c>
      <c r="AH14" s="15">
        <v>61.223825008580341</v>
      </c>
      <c r="AI14" s="17">
        <f t="shared" si="5"/>
        <v>92.046570951407006</v>
      </c>
      <c r="AJ14"/>
      <c r="AK14" s="15">
        <f>(AL14*FX!$J$4)/1000</f>
        <v>20.227427024979995</v>
      </c>
      <c r="AL14" s="16">
        <v>244.23</v>
      </c>
      <c r="AM14" s="18">
        <v>61.223825008580341</v>
      </c>
      <c r="AN14" s="17">
        <f t="shared" si="6"/>
        <v>81.451252033560337</v>
      </c>
      <c r="AP14" s="15">
        <f>(AQ14*FX!$J$4)/1000</f>
        <v>20.227427024979995</v>
      </c>
      <c r="AQ14" s="16">
        <v>244.23</v>
      </c>
      <c r="AR14" s="18">
        <v>61.223825008580341</v>
      </c>
      <c r="AS14" s="17">
        <f t="shared" si="7"/>
        <v>81.451252033560337</v>
      </c>
      <c r="AU14" s="15">
        <f t="shared" si="8"/>
        <v>96.32108107133331</v>
      </c>
      <c r="AV14" s="16">
        <f t="shared" si="9"/>
        <v>3948.99</v>
      </c>
      <c r="AW14" s="18">
        <f t="shared" si="10"/>
        <v>244.89530003432137</v>
      </c>
      <c r="AX14" s="17">
        <f t="shared" si="11"/>
        <v>341.2163811056547</v>
      </c>
      <c r="AZ14" s="15">
        <f t="shared" si="12"/>
        <v>530.56551018570769</v>
      </c>
      <c r="BA14" s="16">
        <f t="shared" si="13"/>
        <v>6271.3899999999994</v>
      </c>
      <c r="BB14" s="18">
        <f t="shared" si="14"/>
        <v>254.539484978996</v>
      </c>
      <c r="BC14" s="17">
        <f t="shared" si="15"/>
        <v>785.10499516470372</v>
      </c>
    </row>
    <row r="15" spans="2:55" x14ac:dyDescent="0.2">
      <c r="B15" s="86"/>
      <c r="C15" s="19">
        <v>98922</v>
      </c>
      <c r="D15" s="7" t="s">
        <v>23</v>
      </c>
      <c r="E15" s="7" t="s">
        <v>24</v>
      </c>
      <c r="G15" s="15">
        <v>99.76644390243176</v>
      </c>
      <c r="H15" s="16">
        <v>1204.6000000000001</v>
      </c>
      <c r="I15" s="18">
        <v>316.44943744965798</v>
      </c>
      <c r="J15" s="17">
        <f t="shared" si="0"/>
        <v>416.21588135208975</v>
      </c>
      <c r="L15" s="16">
        <v>106.57079363063801</v>
      </c>
      <c r="M15" s="16">
        <v>1255.71</v>
      </c>
      <c r="N15" s="20">
        <v>294.45783239995001</v>
      </c>
      <c r="O15" s="17">
        <f t="shared" si="1"/>
        <v>401.02862603058804</v>
      </c>
      <c r="Q15" s="16">
        <v>134.68469926828286</v>
      </c>
      <c r="R15" s="16">
        <v>1626.21</v>
      </c>
      <c r="S15" s="23">
        <v>615.20852835874871</v>
      </c>
      <c r="T15" s="17">
        <f t="shared" si="2"/>
        <v>749.89322762703159</v>
      </c>
      <c r="V15" s="21">
        <f>W15*[1]FX!$K$4/1000</f>
        <v>140.79607723238746</v>
      </c>
      <c r="W15" s="21">
        <v>1700</v>
      </c>
      <c r="X15" s="21">
        <v>140</v>
      </c>
      <c r="Y15" s="22">
        <f t="shared" si="3"/>
        <v>280.79607723238746</v>
      </c>
      <c r="Z15"/>
      <c r="AA15" s="15">
        <f>(AB15*FX!$J$4)/1000</f>
        <v>159.6263102438908</v>
      </c>
      <c r="AB15" s="16">
        <v>1927.3600000000001</v>
      </c>
      <c r="AC15" s="15">
        <v>304.5721647223852</v>
      </c>
      <c r="AD15" s="17">
        <f t="shared" si="4"/>
        <v>464.19847496627597</v>
      </c>
      <c r="AF15" s="15">
        <f>(AG15*FX!$J$4)/1000</f>
        <v>159.6263102438908</v>
      </c>
      <c r="AG15" s="16">
        <v>1927.3600000000001</v>
      </c>
      <c r="AH15" s="15">
        <f>304.572164722385</f>
        <v>304.57216472238503</v>
      </c>
      <c r="AI15" s="17">
        <f t="shared" si="5"/>
        <v>464.19847496627585</v>
      </c>
      <c r="AJ15"/>
      <c r="AK15" s="15">
        <f>(AL15*FX!$J$4)/1000</f>
        <v>104.75476609755331</v>
      </c>
      <c r="AL15" s="16">
        <v>1264.83</v>
      </c>
      <c r="AM15" s="18">
        <v>258.89034654056701</v>
      </c>
      <c r="AN15" s="17">
        <f t="shared" si="6"/>
        <v>363.64511263812034</v>
      </c>
      <c r="AP15" s="15">
        <f>(AQ15*FX!$J$4)/1000</f>
        <v>104.75476609755331</v>
      </c>
      <c r="AQ15" s="16">
        <v>1264.83</v>
      </c>
      <c r="AR15" s="18">
        <f>258.890346540567+345</f>
        <v>603.89034654056695</v>
      </c>
      <c r="AS15" s="17">
        <f t="shared" si="7"/>
        <v>708.64511263812028</v>
      </c>
      <c r="AU15" s="15">
        <f t="shared" si="8"/>
        <v>498.83221951215876</v>
      </c>
      <c r="AV15" s="16">
        <f t="shared" si="9"/>
        <v>6023</v>
      </c>
      <c r="AW15" s="18">
        <f t="shared" si="10"/>
        <v>1495.1204770713589</v>
      </c>
      <c r="AX15" s="17">
        <f t="shared" si="11"/>
        <v>1993.9526965835175</v>
      </c>
      <c r="AZ15" s="15">
        <f t="shared" si="12"/>
        <v>511.7479472044696</v>
      </c>
      <c r="BA15" s="16">
        <f t="shared" si="13"/>
        <v>6147.9000000000005</v>
      </c>
      <c r="BB15" s="18">
        <f t="shared" si="14"/>
        <v>1342.9203436629018</v>
      </c>
      <c r="BC15" s="17">
        <f t="shared" si="15"/>
        <v>1854.6682908673715</v>
      </c>
    </row>
    <row r="16" spans="2:55" x14ac:dyDescent="0.2">
      <c r="B16" s="86"/>
      <c r="C16" s="19" t="s">
        <v>25</v>
      </c>
      <c r="D16" s="7" t="s">
        <v>25</v>
      </c>
      <c r="E16" s="7" t="s">
        <v>26</v>
      </c>
      <c r="G16" s="30">
        <v>9.9385466281685275</v>
      </c>
      <c r="H16" s="31">
        <v>120</v>
      </c>
      <c r="I16" s="32">
        <v>2.1263382362722063</v>
      </c>
      <c r="J16" s="17">
        <f t="shared" si="0"/>
        <v>12.064884864440733</v>
      </c>
      <c r="L16" s="31">
        <v>0</v>
      </c>
      <c r="M16" s="31">
        <v>0</v>
      </c>
      <c r="N16" s="20">
        <v>0</v>
      </c>
      <c r="O16" s="17">
        <f t="shared" si="1"/>
        <v>0</v>
      </c>
      <c r="Q16" s="16">
        <v>13.417037948027513</v>
      </c>
      <c r="R16" s="16">
        <v>162</v>
      </c>
      <c r="S16" s="23">
        <v>36.387701872635837</v>
      </c>
      <c r="T16" s="17">
        <f t="shared" si="2"/>
        <v>49.80473982066335</v>
      </c>
      <c r="V16" s="21">
        <v>0</v>
      </c>
      <c r="W16" s="21">
        <v>0</v>
      </c>
      <c r="X16" s="21">
        <v>0</v>
      </c>
      <c r="Y16" s="22">
        <f t="shared" si="3"/>
        <v>0</v>
      </c>
      <c r="Z16"/>
      <c r="AA16" s="15">
        <f>(AB16*FX!$J$4)/1000</f>
        <v>15.901674605069646</v>
      </c>
      <c r="AB16" s="16">
        <v>192</v>
      </c>
      <c r="AC16" s="15">
        <v>50.09224732718129</v>
      </c>
      <c r="AD16" s="17">
        <f t="shared" si="4"/>
        <v>65.993921932250942</v>
      </c>
      <c r="AF16" s="15">
        <f>(AG16*FX!$J$4)/1000</f>
        <v>15.901674605069646</v>
      </c>
      <c r="AG16" s="16">
        <v>192</v>
      </c>
      <c r="AH16" s="15">
        <v>50.09224732718129</v>
      </c>
      <c r="AI16" s="17">
        <f t="shared" si="5"/>
        <v>65.993921932250942</v>
      </c>
      <c r="AJ16"/>
      <c r="AK16" s="15">
        <f>(AL16*FX!$J$4)/1000</f>
        <v>10.435473959576955</v>
      </c>
      <c r="AL16" s="16">
        <v>126</v>
      </c>
      <c r="AM16" s="18">
        <v>56.944520054454017</v>
      </c>
      <c r="AN16" s="17">
        <f t="shared" si="6"/>
        <v>67.37999401403097</v>
      </c>
      <c r="AP16" s="15">
        <f>(AQ16*FX!$J$4)/1000</f>
        <v>10.435473959576955</v>
      </c>
      <c r="AQ16" s="16">
        <v>126</v>
      </c>
      <c r="AR16" s="18">
        <v>56.944520054454017</v>
      </c>
      <c r="AS16" s="17">
        <f t="shared" si="7"/>
        <v>67.37999401403097</v>
      </c>
      <c r="AU16" s="27">
        <f t="shared" si="8"/>
        <v>49.692733140842641</v>
      </c>
      <c r="AV16" s="28">
        <f t="shared" si="9"/>
        <v>600</v>
      </c>
      <c r="AW16" s="29">
        <f t="shared" si="10"/>
        <v>145.55080749054335</v>
      </c>
      <c r="AX16" s="17">
        <f t="shared" si="11"/>
        <v>195.243540631386</v>
      </c>
      <c r="AZ16" s="27">
        <f t="shared" si="12"/>
        <v>26.337148564646601</v>
      </c>
      <c r="BA16" s="28">
        <f t="shared" si="13"/>
        <v>318</v>
      </c>
      <c r="BB16" s="29">
        <f t="shared" si="14"/>
        <v>107.03676738163531</v>
      </c>
      <c r="BC16" s="17">
        <f t="shared" si="15"/>
        <v>133.37391594628193</v>
      </c>
    </row>
    <row r="17" spans="2:55" x14ac:dyDescent="0.2">
      <c r="B17" s="86"/>
      <c r="C17" s="19" t="s">
        <v>25</v>
      </c>
      <c r="D17" s="7" t="s">
        <v>27</v>
      </c>
      <c r="E17" s="7" t="s">
        <v>28</v>
      </c>
      <c r="G17" s="30">
        <v>49.692733140842641</v>
      </c>
      <c r="H17" s="31">
        <v>600</v>
      </c>
      <c r="I17" s="32">
        <v>50.069232057750824</v>
      </c>
      <c r="J17" s="17">
        <f t="shared" si="0"/>
        <v>99.761965198593458</v>
      </c>
      <c r="L17" s="31">
        <v>0</v>
      </c>
      <c r="M17" s="31">
        <v>0</v>
      </c>
      <c r="N17" s="20">
        <v>0</v>
      </c>
      <c r="O17" s="17">
        <f t="shared" si="1"/>
        <v>0</v>
      </c>
      <c r="Q17" s="16">
        <v>67.085189740137565</v>
      </c>
      <c r="R17" s="16">
        <v>810</v>
      </c>
      <c r="S17" s="23">
        <v>50.069232057750824</v>
      </c>
      <c r="T17" s="17">
        <f t="shared" si="2"/>
        <v>117.15442179788839</v>
      </c>
      <c r="V17" s="21">
        <f>W17*[1]FX!$K$4/1000</f>
        <v>67.085189740137565</v>
      </c>
      <c r="W17" s="21">
        <v>810</v>
      </c>
      <c r="X17" s="21">
        <v>50.069232057750803</v>
      </c>
      <c r="Y17" s="22">
        <f t="shared" si="3"/>
        <v>117.15442179788838</v>
      </c>
      <c r="Z17"/>
      <c r="AA17" s="15">
        <f>(AB17*FX!$J$4)/1000</f>
        <v>79.50837302534822</v>
      </c>
      <c r="AB17" s="16">
        <v>960</v>
      </c>
      <c r="AC17" s="15">
        <v>50.069232057750824</v>
      </c>
      <c r="AD17" s="17">
        <f t="shared" si="4"/>
        <v>129.57760508309906</v>
      </c>
      <c r="AF17" s="15">
        <f>(AG17*FX!$J$4)/1000</f>
        <v>79.50837302534822</v>
      </c>
      <c r="AG17" s="16">
        <v>960</v>
      </c>
      <c r="AH17" s="15">
        <v>50.069232057750824</v>
      </c>
      <c r="AI17" s="17">
        <f t="shared" si="5"/>
        <v>129.57760508309906</v>
      </c>
      <c r="AJ17"/>
      <c r="AK17" s="15">
        <f>(AL17*FX!$J$4)/1000</f>
        <v>52.177369797884772</v>
      </c>
      <c r="AL17" s="16">
        <v>630</v>
      </c>
      <c r="AM17" s="18">
        <v>50.069232057750824</v>
      </c>
      <c r="AN17" s="17">
        <f t="shared" si="6"/>
        <v>102.24660185563559</v>
      </c>
      <c r="AP17" s="15">
        <f>(AQ17*FX!$J$4)/1000</f>
        <v>52.177369797884772</v>
      </c>
      <c r="AQ17" s="16">
        <v>630</v>
      </c>
      <c r="AR17" s="18">
        <v>50.069232057750824</v>
      </c>
      <c r="AS17" s="17">
        <f t="shared" si="7"/>
        <v>102.24660185563559</v>
      </c>
      <c r="AU17" s="27">
        <f t="shared" si="8"/>
        <v>248.46366570421321</v>
      </c>
      <c r="AV17" s="28">
        <f t="shared" si="9"/>
        <v>3000</v>
      </c>
      <c r="AW17" s="29">
        <f t="shared" si="10"/>
        <v>200.2769282310033</v>
      </c>
      <c r="AX17" s="17">
        <f t="shared" si="11"/>
        <v>448.74059393521651</v>
      </c>
      <c r="AZ17" s="27">
        <f t="shared" si="12"/>
        <v>198.77093256337056</v>
      </c>
      <c r="BA17" s="28">
        <f t="shared" si="13"/>
        <v>2400</v>
      </c>
      <c r="BB17" s="29">
        <f t="shared" si="14"/>
        <v>150.20769617325246</v>
      </c>
      <c r="BC17" s="17">
        <f t="shared" si="15"/>
        <v>348.97862873662302</v>
      </c>
    </row>
    <row r="18" spans="2:55" x14ac:dyDescent="0.2">
      <c r="B18" s="86"/>
      <c r="C18" s="19" t="s">
        <v>25</v>
      </c>
      <c r="D18" s="7" t="s">
        <v>25</v>
      </c>
      <c r="E18" s="7" t="s">
        <v>29</v>
      </c>
      <c r="G18" s="30">
        <v>9.9385466281685275</v>
      </c>
      <c r="H18" s="31">
        <v>120</v>
      </c>
      <c r="I18" s="32">
        <v>47.808156418090377</v>
      </c>
      <c r="J18" s="17">
        <f t="shared" si="0"/>
        <v>57.746703046258901</v>
      </c>
      <c r="L18" s="30">
        <v>0</v>
      </c>
      <c r="M18" s="31">
        <v>0</v>
      </c>
      <c r="N18" s="20">
        <v>0</v>
      </c>
      <c r="O18" s="17">
        <f t="shared" si="1"/>
        <v>0</v>
      </c>
      <c r="Q18" s="16">
        <v>13.417037948027513</v>
      </c>
      <c r="R18" s="16">
        <v>162</v>
      </c>
      <c r="S18" s="23">
        <v>47.808156418090377</v>
      </c>
      <c r="T18" s="17">
        <f t="shared" si="2"/>
        <v>61.22519436611789</v>
      </c>
      <c r="V18" s="21">
        <v>0</v>
      </c>
      <c r="W18" s="21">
        <v>0</v>
      </c>
      <c r="X18" s="21">
        <v>0</v>
      </c>
      <c r="Y18" s="22">
        <f t="shared" si="3"/>
        <v>0</v>
      </c>
      <c r="Z18"/>
      <c r="AA18" s="15">
        <f>(AB18*FX!$J$4)/1000</f>
        <v>15.901674605069646</v>
      </c>
      <c r="AB18" s="16">
        <v>192</v>
      </c>
      <c r="AC18" s="15">
        <v>47.808156418090377</v>
      </c>
      <c r="AD18" s="17">
        <f t="shared" si="4"/>
        <v>63.709831023160021</v>
      </c>
      <c r="AF18" s="15">
        <f>(AG18*FX!$J$4)/1000</f>
        <v>15.901674605069646</v>
      </c>
      <c r="AG18" s="16">
        <v>192</v>
      </c>
      <c r="AH18" s="15">
        <v>47.808156418090377</v>
      </c>
      <c r="AI18" s="17">
        <f t="shared" si="5"/>
        <v>63.709831023160021</v>
      </c>
      <c r="AJ18"/>
      <c r="AK18" s="15">
        <f>(AL18*FX!$J$4)/1000</f>
        <v>10.435473959576955</v>
      </c>
      <c r="AL18" s="16">
        <v>126</v>
      </c>
      <c r="AM18" s="18">
        <v>47.808156418090377</v>
      </c>
      <c r="AN18" s="17">
        <f t="shared" si="6"/>
        <v>58.24363037766733</v>
      </c>
      <c r="AP18" s="15">
        <f>(AQ18*FX!$J$4)/1000</f>
        <v>10.435473959576955</v>
      </c>
      <c r="AQ18" s="16">
        <v>126</v>
      </c>
      <c r="AR18" s="18">
        <v>47.808156418090377</v>
      </c>
      <c r="AS18" s="17">
        <f t="shared" si="7"/>
        <v>58.24363037766733</v>
      </c>
      <c r="AU18" s="27">
        <f t="shared" si="8"/>
        <v>49.692733140842641</v>
      </c>
      <c r="AV18" s="28">
        <f t="shared" si="9"/>
        <v>600</v>
      </c>
      <c r="AW18" s="29">
        <f t="shared" si="10"/>
        <v>191.23262567236151</v>
      </c>
      <c r="AX18" s="17">
        <f t="shared" si="11"/>
        <v>240.92535881320416</v>
      </c>
      <c r="AZ18" s="27">
        <f t="shared" si="12"/>
        <v>26.337148564646601</v>
      </c>
      <c r="BA18" s="28">
        <f t="shared" si="13"/>
        <v>318</v>
      </c>
      <c r="BB18" s="29">
        <f t="shared" si="14"/>
        <v>95.616312836180754</v>
      </c>
      <c r="BC18" s="17">
        <f t="shared" si="15"/>
        <v>121.95346140082735</v>
      </c>
    </row>
    <row r="19" spans="2:55" x14ac:dyDescent="0.2">
      <c r="B19" s="86"/>
      <c r="C19" s="24">
        <v>98928</v>
      </c>
      <c r="D19" s="7" t="s">
        <v>30</v>
      </c>
      <c r="E19" s="25" t="s">
        <v>31</v>
      </c>
      <c r="G19" s="16">
        <v>17.709415472812292</v>
      </c>
      <c r="H19" s="16">
        <v>184.536</v>
      </c>
      <c r="I19" s="16">
        <v>89.065581081982174</v>
      </c>
      <c r="J19" s="17">
        <f t="shared" si="0"/>
        <v>106.77499655479447</v>
      </c>
      <c r="L19" s="15">
        <v>28.582498023585998</v>
      </c>
      <c r="M19" s="16">
        <v>334.25</v>
      </c>
      <c r="N19" s="33">
        <v>247.045733699251</v>
      </c>
      <c r="O19" s="17">
        <f t="shared" si="1"/>
        <v>275.62823172283697</v>
      </c>
      <c r="Q19" s="16">
        <v>0</v>
      </c>
      <c r="R19" s="16">
        <v>0</v>
      </c>
      <c r="S19" s="16">
        <v>0</v>
      </c>
      <c r="T19" s="17">
        <f t="shared" si="2"/>
        <v>0</v>
      </c>
      <c r="V19" s="21">
        <f>W19*[1]FX!$K$4/1000</f>
        <v>60.459491988025214</v>
      </c>
      <c r="W19" s="21">
        <v>730</v>
      </c>
      <c r="X19" s="21">
        <v>70</v>
      </c>
      <c r="Y19" s="22">
        <f t="shared" si="3"/>
        <v>130.45949198802521</v>
      </c>
      <c r="Z19"/>
      <c r="AA19" s="15">
        <f>(AB19*FX!$J$4)/1000</f>
        <v>0</v>
      </c>
      <c r="AB19" s="16">
        <v>0</v>
      </c>
      <c r="AC19" s="15">
        <v>0</v>
      </c>
      <c r="AD19" s="17">
        <f t="shared" si="4"/>
        <v>0</v>
      </c>
      <c r="AF19" s="15">
        <f>(AG19*FX!$J$4)/1000</f>
        <v>0</v>
      </c>
      <c r="AG19" s="16">
        <v>0</v>
      </c>
      <c r="AH19" s="15">
        <v>0</v>
      </c>
      <c r="AI19" s="17">
        <f t="shared" si="5"/>
        <v>0</v>
      </c>
      <c r="AJ19"/>
      <c r="AK19" s="15">
        <f>(AL19*FX!$J$4)/1000</f>
        <v>0</v>
      </c>
      <c r="AL19" s="16">
        <v>0</v>
      </c>
      <c r="AM19" s="18">
        <v>0</v>
      </c>
      <c r="AN19" s="17">
        <f t="shared" si="6"/>
        <v>0</v>
      </c>
      <c r="AP19" s="15">
        <f>(AQ19*FX!$J$4)/1000</f>
        <v>0</v>
      </c>
      <c r="AQ19" s="16">
        <v>0</v>
      </c>
      <c r="AR19" s="18">
        <v>0</v>
      </c>
      <c r="AS19" s="17">
        <f t="shared" si="7"/>
        <v>0</v>
      </c>
      <c r="AU19" s="15">
        <f t="shared" si="8"/>
        <v>17.709415472812292</v>
      </c>
      <c r="AV19" s="16">
        <f t="shared" si="9"/>
        <v>184.536</v>
      </c>
      <c r="AW19" s="15">
        <f t="shared" si="10"/>
        <v>89.065581081982174</v>
      </c>
      <c r="AX19" s="17">
        <f t="shared" si="11"/>
        <v>106.77499655479447</v>
      </c>
      <c r="AZ19" s="15">
        <f t="shared" si="12"/>
        <v>89.041990011611205</v>
      </c>
      <c r="BA19" s="16">
        <f t="shared" si="13"/>
        <v>1064.25</v>
      </c>
      <c r="BB19" s="15">
        <f t="shared" si="14"/>
        <v>317.045733699251</v>
      </c>
      <c r="BC19" s="17">
        <f t="shared" si="15"/>
        <v>406.08772371086218</v>
      </c>
    </row>
    <row r="20" spans="2:55" x14ac:dyDescent="0.2">
      <c r="B20" s="86"/>
      <c r="C20" s="24">
        <v>98920</v>
      </c>
      <c r="D20" s="7" t="s">
        <v>30</v>
      </c>
      <c r="E20" s="25" t="s">
        <v>32</v>
      </c>
      <c r="G20" s="16">
        <v>35.273728438824328</v>
      </c>
      <c r="H20" s="16">
        <v>367.56</v>
      </c>
      <c r="I20" s="16">
        <v>64.323552784419746</v>
      </c>
      <c r="J20" s="17">
        <f t="shared" si="0"/>
        <v>99.597281223244067</v>
      </c>
      <c r="L20" s="15">
        <v>1.8620016577089999</v>
      </c>
      <c r="M20" s="16">
        <v>21.75</v>
      </c>
      <c r="N20" s="33">
        <v>54.873366495900001</v>
      </c>
      <c r="O20" s="17">
        <f t="shared" si="1"/>
        <v>56.735368153609002</v>
      </c>
      <c r="Q20" s="16">
        <v>0</v>
      </c>
      <c r="R20" s="16">
        <v>0</v>
      </c>
      <c r="S20" s="16">
        <v>0</v>
      </c>
      <c r="T20" s="17">
        <f t="shared" si="2"/>
        <v>0</v>
      </c>
      <c r="V20" s="21">
        <f>W20*[1]FX!$K$4/1000</f>
        <v>8.2821221901404414</v>
      </c>
      <c r="W20" s="21">
        <v>100</v>
      </c>
      <c r="X20" s="21">
        <v>0</v>
      </c>
      <c r="Y20" s="22">
        <f t="shared" si="3"/>
        <v>8.2821221901404414</v>
      </c>
      <c r="Z20"/>
      <c r="AA20" s="15">
        <f>(AB20*FX!$J$4)/1000</f>
        <v>0</v>
      </c>
      <c r="AB20" s="16">
        <v>0</v>
      </c>
      <c r="AC20" s="15">
        <v>0</v>
      </c>
      <c r="AD20" s="17">
        <f t="shared" si="4"/>
        <v>0</v>
      </c>
      <c r="AF20" s="15">
        <f>(AG20*FX!$J$4)/1000</f>
        <v>0</v>
      </c>
      <c r="AG20" s="16">
        <v>0</v>
      </c>
      <c r="AH20" s="15">
        <v>0</v>
      </c>
      <c r="AI20" s="17">
        <f t="shared" si="5"/>
        <v>0</v>
      </c>
      <c r="AJ20"/>
      <c r="AK20" s="15">
        <f>(AL20*FX!$J$4)/1000</f>
        <v>0</v>
      </c>
      <c r="AL20" s="16">
        <v>0</v>
      </c>
      <c r="AM20" s="18">
        <v>0</v>
      </c>
      <c r="AN20" s="17">
        <f t="shared" si="6"/>
        <v>0</v>
      </c>
      <c r="AP20" s="15">
        <f>(AQ20*FX!$J$4)/1000</f>
        <v>0</v>
      </c>
      <c r="AQ20" s="16">
        <v>0</v>
      </c>
      <c r="AR20" s="18">
        <v>0</v>
      </c>
      <c r="AS20" s="17">
        <f t="shared" si="7"/>
        <v>0</v>
      </c>
      <c r="AU20" s="15">
        <f t="shared" si="8"/>
        <v>35.273728438824328</v>
      </c>
      <c r="AV20" s="16">
        <f t="shared" si="9"/>
        <v>367.56</v>
      </c>
      <c r="AW20" s="15">
        <f t="shared" si="10"/>
        <v>64.323552784419746</v>
      </c>
      <c r="AX20" s="17">
        <f t="shared" si="11"/>
        <v>99.597281223244067</v>
      </c>
      <c r="AZ20" s="15">
        <f t="shared" si="12"/>
        <v>10.144123847849441</v>
      </c>
      <c r="BA20" s="16">
        <f t="shared" si="13"/>
        <v>121.75</v>
      </c>
      <c r="BB20" s="15">
        <f t="shared" si="14"/>
        <v>54.873366495900001</v>
      </c>
      <c r="BC20" s="17">
        <f t="shared" si="15"/>
        <v>65.017490343749444</v>
      </c>
    </row>
    <row r="21" spans="2:55" ht="17.25" customHeight="1" x14ac:dyDescent="0.2">
      <c r="B21" s="34"/>
      <c r="C21" s="24">
        <v>121703</v>
      </c>
      <c r="D21" s="35" t="s">
        <v>33</v>
      </c>
      <c r="E21" s="25" t="s">
        <v>34</v>
      </c>
      <c r="G21" s="16"/>
      <c r="H21" s="16"/>
      <c r="I21" s="16"/>
      <c r="J21" s="17">
        <f t="shared" si="0"/>
        <v>0</v>
      </c>
      <c r="L21" s="15">
        <v>0</v>
      </c>
      <c r="M21" s="16">
        <v>0</v>
      </c>
      <c r="N21" s="33">
        <v>0</v>
      </c>
      <c r="O21" s="17">
        <f t="shared" si="1"/>
        <v>0</v>
      </c>
      <c r="Q21" s="16">
        <v>0</v>
      </c>
      <c r="R21" s="16">
        <v>0</v>
      </c>
      <c r="S21" s="16">
        <v>0</v>
      </c>
      <c r="T21" s="17">
        <f t="shared" si="2"/>
        <v>0</v>
      </c>
      <c r="V21" s="21">
        <f>W21*[1]FX!$K$4/1000</f>
        <v>89.446919653516758</v>
      </c>
      <c r="W21" s="21">
        <v>1080</v>
      </c>
      <c r="X21" s="21">
        <v>0</v>
      </c>
      <c r="Y21" s="22">
        <f t="shared" si="3"/>
        <v>89.446919653516758</v>
      </c>
      <c r="Z21"/>
      <c r="AA21" s="15">
        <f>(AB21*FX!$J$4)/1000</f>
        <v>0</v>
      </c>
      <c r="AB21" s="16">
        <v>0</v>
      </c>
      <c r="AC21" s="15">
        <v>0</v>
      </c>
      <c r="AD21" s="17">
        <f>AA21+AC21</f>
        <v>0</v>
      </c>
      <c r="AF21" s="15">
        <f>(AG21*FX!$J$4)/1000</f>
        <v>0</v>
      </c>
      <c r="AG21" s="16">
        <v>0</v>
      </c>
      <c r="AH21" s="15">
        <v>240</v>
      </c>
      <c r="AI21" s="17">
        <f t="shared" si="5"/>
        <v>240</v>
      </c>
      <c r="AJ21"/>
      <c r="AK21" s="15">
        <f>(AL21*FX!$J$4)/1000</f>
        <v>0</v>
      </c>
      <c r="AL21" s="16">
        <v>0</v>
      </c>
      <c r="AM21" s="18">
        <v>0</v>
      </c>
      <c r="AN21" s="17">
        <f t="shared" si="6"/>
        <v>0</v>
      </c>
      <c r="AP21" s="15">
        <f>(AQ21*FX!$J$4)/1000</f>
        <v>0</v>
      </c>
      <c r="AQ21" s="16">
        <v>0</v>
      </c>
      <c r="AR21" s="18">
        <v>40</v>
      </c>
      <c r="AS21" s="17">
        <f t="shared" si="7"/>
        <v>40</v>
      </c>
      <c r="AU21" s="15">
        <f t="shared" si="8"/>
        <v>0</v>
      </c>
      <c r="AV21" s="16">
        <f t="shared" si="9"/>
        <v>0</v>
      </c>
      <c r="AW21" s="15">
        <f t="shared" si="10"/>
        <v>0</v>
      </c>
      <c r="AX21" s="17">
        <f t="shared" si="11"/>
        <v>0</v>
      </c>
      <c r="AZ21" s="15">
        <f t="shared" si="12"/>
        <v>89.446919653516758</v>
      </c>
      <c r="BA21" s="16">
        <f t="shared" si="13"/>
        <v>1080</v>
      </c>
      <c r="BB21" s="15">
        <f t="shared" si="14"/>
        <v>280</v>
      </c>
      <c r="BC21" s="17">
        <f t="shared" si="15"/>
        <v>369.44691965351677</v>
      </c>
    </row>
    <row r="22" spans="2:55" x14ac:dyDescent="0.2">
      <c r="B22" s="34"/>
      <c r="C22" s="24">
        <v>121704</v>
      </c>
      <c r="D22" s="35" t="s">
        <v>33</v>
      </c>
      <c r="E22" s="25" t="s">
        <v>35</v>
      </c>
      <c r="G22" s="16"/>
      <c r="H22" s="16"/>
      <c r="I22" s="16"/>
      <c r="J22" s="17">
        <f t="shared" si="0"/>
        <v>0</v>
      </c>
      <c r="L22" s="15">
        <v>0</v>
      </c>
      <c r="M22" s="16">
        <v>0</v>
      </c>
      <c r="N22" s="33">
        <v>0</v>
      </c>
      <c r="O22" s="17">
        <f t="shared" si="1"/>
        <v>0</v>
      </c>
      <c r="Q22" s="16">
        <v>0</v>
      </c>
      <c r="R22" s="16">
        <v>0</v>
      </c>
      <c r="S22" s="16">
        <v>0</v>
      </c>
      <c r="T22" s="17">
        <f t="shared" si="2"/>
        <v>0</v>
      </c>
      <c r="V22" s="21">
        <f>W22*[1]FX!$K$4/1000</f>
        <v>64.600553083095434</v>
      </c>
      <c r="W22" s="21">
        <v>780</v>
      </c>
      <c r="X22" s="21">
        <v>0</v>
      </c>
      <c r="Y22" s="22">
        <f t="shared" si="3"/>
        <v>64.600553083095434</v>
      </c>
      <c r="Z22"/>
      <c r="AA22" s="15">
        <f>(AB22*FX!$J$4)/1000</f>
        <v>0</v>
      </c>
      <c r="AB22" s="16">
        <v>0</v>
      </c>
      <c r="AC22" s="15">
        <v>0</v>
      </c>
      <c r="AD22" s="17">
        <f>AA22+AC22</f>
        <v>0</v>
      </c>
      <c r="AF22" s="15">
        <f>(AG22*FX!$J$4)/1000</f>
        <v>0</v>
      </c>
      <c r="AG22" s="16">
        <v>0</v>
      </c>
      <c r="AH22" s="15">
        <v>0</v>
      </c>
      <c r="AI22" s="17">
        <f t="shared" si="5"/>
        <v>0</v>
      </c>
      <c r="AJ22"/>
      <c r="AK22" s="15">
        <f>(AL22*FX!$J$4)/1000</f>
        <v>0</v>
      </c>
      <c r="AL22" s="16">
        <v>0</v>
      </c>
      <c r="AM22" s="18">
        <v>0</v>
      </c>
      <c r="AN22" s="17">
        <f t="shared" si="6"/>
        <v>0</v>
      </c>
      <c r="AP22" s="15">
        <f>(AQ22*FX!$J$4)/1000</f>
        <v>0</v>
      </c>
      <c r="AQ22" s="16">
        <v>0</v>
      </c>
      <c r="AR22" s="18">
        <v>0</v>
      </c>
      <c r="AS22" s="17">
        <f t="shared" si="7"/>
        <v>0</v>
      </c>
      <c r="AU22" s="15">
        <f t="shared" si="8"/>
        <v>0</v>
      </c>
      <c r="AV22" s="16">
        <f t="shared" si="9"/>
        <v>0</v>
      </c>
      <c r="AW22" s="15">
        <f t="shared" si="10"/>
        <v>0</v>
      </c>
      <c r="AX22" s="17">
        <f t="shared" si="11"/>
        <v>0</v>
      </c>
      <c r="AZ22" s="15">
        <f t="shared" si="12"/>
        <v>64.600553083095434</v>
      </c>
      <c r="BA22" s="16">
        <f t="shared" si="13"/>
        <v>780</v>
      </c>
      <c r="BB22" s="15">
        <f t="shared" si="14"/>
        <v>0</v>
      </c>
      <c r="BC22" s="17">
        <f t="shared" si="15"/>
        <v>64.600553083095434</v>
      </c>
    </row>
    <row r="23" spans="2:55" x14ac:dyDescent="0.2">
      <c r="B23" s="34"/>
      <c r="C23" s="24">
        <v>121705</v>
      </c>
      <c r="D23" s="35" t="s">
        <v>33</v>
      </c>
      <c r="E23" s="25" t="s">
        <v>36</v>
      </c>
      <c r="G23" s="16"/>
      <c r="H23" s="16"/>
      <c r="I23" s="16"/>
      <c r="J23" s="17">
        <f t="shared" si="0"/>
        <v>0</v>
      </c>
      <c r="L23" s="15">
        <v>0</v>
      </c>
      <c r="M23" s="16">
        <v>0</v>
      </c>
      <c r="N23" s="33">
        <v>0</v>
      </c>
      <c r="O23" s="17">
        <f t="shared" si="1"/>
        <v>0</v>
      </c>
      <c r="Q23" s="16">
        <v>0</v>
      </c>
      <c r="R23" s="16">
        <v>0</v>
      </c>
      <c r="S23" s="16">
        <v>0</v>
      </c>
      <c r="T23" s="17">
        <f t="shared" si="2"/>
        <v>0</v>
      </c>
      <c r="V23" s="21">
        <f>W23*[1]FX!$K$4/1000</f>
        <v>33.128488760561766</v>
      </c>
      <c r="W23" s="21">
        <v>400</v>
      </c>
      <c r="X23" s="21">
        <v>0</v>
      </c>
      <c r="Y23" s="22">
        <f t="shared" si="3"/>
        <v>33.128488760561766</v>
      </c>
      <c r="Z23"/>
      <c r="AA23" s="15">
        <f>(AB23*FX!$J$4)/1000</f>
        <v>0</v>
      </c>
      <c r="AB23" s="16">
        <v>0</v>
      </c>
      <c r="AC23" s="15">
        <v>0</v>
      </c>
      <c r="AD23" s="17">
        <f>AA23+AC23</f>
        <v>0</v>
      </c>
      <c r="AF23" s="15">
        <f>(AG23*FX!$J$4)/1000</f>
        <v>0</v>
      </c>
      <c r="AG23" s="16">
        <v>0</v>
      </c>
      <c r="AH23" s="15">
        <v>0</v>
      </c>
      <c r="AI23" s="17">
        <f t="shared" si="5"/>
        <v>0</v>
      </c>
      <c r="AJ23"/>
      <c r="AK23" s="15">
        <f>(AL23*FX!$J$4)/1000</f>
        <v>0</v>
      </c>
      <c r="AL23" s="16">
        <v>0</v>
      </c>
      <c r="AM23" s="18">
        <v>0</v>
      </c>
      <c r="AN23" s="17">
        <f t="shared" si="6"/>
        <v>0</v>
      </c>
      <c r="AP23" s="15">
        <f>(AQ23*FX!$J$4)/1000</f>
        <v>0</v>
      </c>
      <c r="AQ23" s="16">
        <v>0</v>
      </c>
      <c r="AR23" s="18">
        <v>0</v>
      </c>
      <c r="AS23" s="17">
        <f t="shared" si="7"/>
        <v>0</v>
      </c>
      <c r="AU23" s="15">
        <f t="shared" si="8"/>
        <v>0</v>
      </c>
      <c r="AV23" s="16">
        <f t="shared" si="9"/>
        <v>0</v>
      </c>
      <c r="AW23" s="15">
        <f t="shared" si="10"/>
        <v>0</v>
      </c>
      <c r="AX23" s="17">
        <f t="shared" si="11"/>
        <v>0</v>
      </c>
      <c r="AZ23" s="15">
        <f t="shared" si="12"/>
        <v>33.128488760561766</v>
      </c>
      <c r="BA23" s="16">
        <f t="shared" si="13"/>
        <v>400</v>
      </c>
      <c r="BB23" s="15">
        <f t="shared" si="14"/>
        <v>0</v>
      </c>
      <c r="BC23" s="17">
        <f t="shared" si="15"/>
        <v>33.128488760561766</v>
      </c>
    </row>
    <row r="24" spans="2:55" x14ac:dyDescent="0.2">
      <c r="B24" s="34"/>
      <c r="C24" s="24">
        <v>122241</v>
      </c>
      <c r="D24" s="35" t="s">
        <v>25</v>
      </c>
      <c r="E24" s="25" t="s">
        <v>46</v>
      </c>
      <c r="G24" s="15"/>
      <c r="H24" s="16"/>
      <c r="I24" s="33"/>
      <c r="J24" s="17"/>
      <c r="L24" s="15"/>
      <c r="M24" s="16"/>
      <c r="N24" s="33"/>
      <c r="O24" s="17"/>
      <c r="Q24" s="21">
        <v>0</v>
      </c>
      <c r="R24" s="21">
        <v>0</v>
      </c>
      <c r="S24" s="21">
        <v>0</v>
      </c>
      <c r="T24" s="22">
        <f t="shared" si="2"/>
        <v>0</v>
      </c>
      <c r="V24" s="21">
        <f>W24*[1]FX!$K$4/1000</f>
        <v>33.128488760561766</v>
      </c>
      <c r="W24" s="21">
        <v>400</v>
      </c>
      <c r="X24" s="21">
        <v>0</v>
      </c>
      <c r="Y24" s="22">
        <f t="shared" si="3"/>
        <v>33.128488760561766</v>
      </c>
      <c r="Z24"/>
      <c r="AA24" s="15">
        <f>(AB24*FX!$J$4)/1000</f>
        <v>0</v>
      </c>
      <c r="AB24" s="16">
        <v>0</v>
      </c>
      <c r="AC24" s="15">
        <v>0</v>
      </c>
      <c r="AD24" s="17">
        <f t="shared" ref="AD24" si="27">AA24+AC24</f>
        <v>0</v>
      </c>
      <c r="AF24" s="15">
        <f>(AG24*FX!$J$4)/1000</f>
        <v>0</v>
      </c>
      <c r="AG24" s="16">
        <v>0</v>
      </c>
      <c r="AH24" s="15">
        <v>0</v>
      </c>
      <c r="AI24" s="17">
        <f t="shared" si="5"/>
        <v>0</v>
      </c>
      <c r="AJ24"/>
      <c r="AK24" s="15">
        <f>(AL24*FX!$J$4)/1000</f>
        <v>0</v>
      </c>
      <c r="AL24" s="16">
        <v>0</v>
      </c>
      <c r="AM24" s="18">
        <v>0</v>
      </c>
      <c r="AN24" s="17">
        <f t="shared" si="6"/>
        <v>0</v>
      </c>
      <c r="AP24" s="15">
        <f>(AQ24*FX!$J$4)/1000</f>
        <v>0</v>
      </c>
      <c r="AQ24" s="16">
        <v>0</v>
      </c>
      <c r="AR24" s="18">
        <v>0</v>
      </c>
      <c r="AS24" s="17">
        <f t="shared" si="7"/>
        <v>0</v>
      </c>
      <c r="AU24" s="15">
        <f>AA24+AK24+Q24+G24</f>
        <v>0</v>
      </c>
      <c r="AV24" s="16">
        <f>AL24+AB24+R24+H24</f>
        <v>0</v>
      </c>
      <c r="AW24" s="15">
        <f>AM24+AC24+S24+I24</f>
        <v>0</v>
      </c>
      <c r="AX24" s="17">
        <f t="shared" si="11"/>
        <v>0</v>
      </c>
      <c r="AZ24" s="15">
        <f t="shared" si="12"/>
        <v>33.128488760561766</v>
      </c>
      <c r="BA24" s="16">
        <f t="shared" si="13"/>
        <v>400</v>
      </c>
      <c r="BB24" s="15">
        <f t="shared" si="14"/>
        <v>0</v>
      </c>
      <c r="BC24" s="17">
        <f t="shared" si="15"/>
        <v>33.128488760561766</v>
      </c>
    </row>
    <row r="25" spans="2:55" ht="15" customHeight="1" x14ac:dyDescent="0.2">
      <c r="C25" s="84" t="s">
        <v>37</v>
      </c>
      <c r="D25" s="85"/>
      <c r="E25" s="85"/>
      <c r="G25" s="36">
        <f>SUM(G6:G23)</f>
        <v>1186.3037751371403</v>
      </c>
      <c r="H25" s="36">
        <f>SUM(H6:H23)</f>
        <v>14236.036</v>
      </c>
      <c r="I25" s="36">
        <f>SUM(I6:I23)</f>
        <v>2428.092230268096</v>
      </c>
      <c r="J25" s="36">
        <f>SUM(J6:J23)</f>
        <v>3614.3960054052368</v>
      </c>
      <c r="L25" s="37">
        <f>SUM(L6:L23)</f>
        <v>1413.0444659465188</v>
      </c>
      <c r="M25" s="37">
        <f>SUM(M6:M23)</f>
        <v>17615.560000000001</v>
      </c>
      <c r="N25" s="37">
        <f>SUM(N6:N23)</f>
        <v>2343.508922596257</v>
      </c>
      <c r="O25" s="38">
        <f>SUM(O6:O23)</f>
        <v>3756.5533885427762</v>
      </c>
      <c r="Q25" s="36">
        <f>SUM(Q6:Q23)</f>
        <v>1529.98285215443</v>
      </c>
      <c r="R25" s="36">
        <f>SUM(R6:R23)</f>
        <v>21259.309000000001</v>
      </c>
      <c r="S25" s="36">
        <f>SUM(S6:S23)</f>
        <v>2808.6881931518797</v>
      </c>
      <c r="T25" s="36">
        <f>SUM(T6:T23)</f>
        <v>4338.6710453063097</v>
      </c>
      <c r="V25" s="37">
        <f>SUM(V6:V24)</f>
        <v>1762.6409986922015</v>
      </c>
      <c r="W25" s="37">
        <f>SUM(W6:W24)</f>
        <v>21282.48</v>
      </c>
      <c r="X25" s="37">
        <f>SUM(X6:X24)</f>
        <v>1734.7230570663312</v>
      </c>
      <c r="Y25" s="38">
        <f>SUM(Y6:Y24)</f>
        <v>3497.3640557585318</v>
      </c>
      <c r="Z25"/>
      <c r="AA25" s="36">
        <f>SUM(AA6:AA23)</f>
        <v>1641.0448684058852</v>
      </c>
      <c r="AB25" s="36">
        <f>SUM(AB6:AB23)</f>
        <v>19814.304</v>
      </c>
      <c r="AC25" s="36">
        <f>SUM(AC6:AC23)</f>
        <v>2245.1758704348922</v>
      </c>
      <c r="AD25" s="36">
        <f>SUM(AD6:AD23)</f>
        <v>3886.2207388407774</v>
      </c>
      <c r="AF25" s="37">
        <f>SUM(AF6:AF24)</f>
        <v>1813.3130099608063</v>
      </c>
      <c r="AG25" s="37">
        <f>SUM(AG6:AG24)</f>
        <v>21894.304</v>
      </c>
      <c r="AH25" s="37">
        <f>SUM(AH6:AH24)</f>
        <v>2346.3621873107841</v>
      </c>
      <c r="AI25" s="38">
        <f>SUM(AI6:AI24)</f>
        <v>4159.6751972715902</v>
      </c>
      <c r="AJ25"/>
      <c r="AK25" s="36">
        <f>SUM(AK6:AK23)</f>
        <v>1190.8148750057928</v>
      </c>
      <c r="AL25" s="36">
        <f>SUM(AL6:AL23)</f>
        <v>14378.136999999999</v>
      </c>
      <c r="AM25" s="36">
        <f>SUM(AM6:AM23)</f>
        <v>1717.2917795258013</v>
      </c>
      <c r="AN25" s="36">
        <f>SUM(AN6:AN23)</f>
        <v>2908.1066545315944</v>
      </c>
      <c r="AP25" s="37">
        <f>SUM(AP6:AP24)</f>
        <v>1189.9866627867789</v>
      </c>
      <c r="AQ25" s="37">
        <f>SUM(AQ6:AQ24)</f>
        <v>14368.136999999999</v>
      </c>
      <c r="AR25" s="37">
        <f>SUM(AR6:AR24)</f>
        <v>2041.9326418562393</v>
      </c>
      <c r="AS25" s="38">
        <f>SUM(AS6:AS24)</f>
        <v>3231.9193046430182</v>
      </c>
      <c r="AU25" s="36">
        <f>SUM(AU6:AU23)</f>
        <v>5548.1463707032472</v>
      </c>
      <c r="AV25" s="36">
        <f>SUM(AV6:AV23)</f>
        <v>69687.785999999993</v>
      </c>
      <c r="AW25" s="36">
        <f>SUM(AW6:AW23)</f>
        <v>9199.2480733806678</v>
      </c>
      <c r="AX25" s="36">
        <f>SUM(AX6:AX23)</f>
        <v>14747.394444083915</v>
      </c>
      <c r="AZ25" s="37">
        <f>SUM(AZ6:AZ24)</f>
        <v>6178.9851373863048</v>
      </c>
      <c r="BA25" s="37">
        <f>SUM(BA6:BA24)</f>
        <v>75160.481</v>
      </c>
      <c r="BB25" s="37">
        <f>SUM(BB6:BB24)</f>
        <v>8466.5268088296107</v>
      </c>
      <c r="BC25" s="38">
        <f>SUM(BC6:BC24)</f>
        <v>14645.511946215916</v>
      </c>
    </row>
    <row r="26" spans="2:55" ht="9.75" customHeight="1" x14ac:dyDescent="0.2">
      <c r="H26"/>
      <c r="I26"/>
      <c r="J26"/>
      <c r="L26"/>
      <c r="M26"/>
      <c r="N26"/>
      <c r="O26"/>
      <c r="Q26"/>
      <c r="R26"/>
      <c r="S26"/>
      <c r="T26"/>
      <c r="V26"/>
      <c r="W26"/>
      <c r="X26"/>
      <c r="Y26"/>
      <c r="Z26"/>
      <c r="AA26"/>
      <c r="AB26"/>
      <c r="AC26"/>
      <c r="AD26"/>
      <c r="AF26"/>
      <c r="AG26"/>
      <c r="AH26"/>
      <c r="AI26"/>
      <c r="AJ26"/>
      <c r="AK26"/>
      <c r="AL26"/>
      <c r="AM26"/>
      <c r="AN26"/>
      <c r="AP26"/>
      <c r="AQ26"/>
      <c r="AR26"/>
      <c r="AS26"/>
    </row>
    <row r="27" spans="2:55" x14ac:dyDescent="0.2">
      <c r="B27" s="86" t="s">
        <v>38</v>
      </c>
      <c r="C27" s="6">
        <v>119750</v>
      </c>
      <c r="D27" s="39" t="s">
        <v>30</v>
      </c>
      <c r="E27" s="40" t="s">
        <v>31</v>
      </c>
      <c r="G27" s="9">
        <v>11.806276981874863</v>
      </c>
      <c r="H27" s="9">
        <v>123.024</v>
      </c>
      <c r="I27" s="14">
        <v>59.377054054654792</v>
      </c>
      <c r="J27" s="11">
        <f t="shared" ref="J27:J32" si="28">G27+I27</f>
        <v>71.183331036529651</v>
      </c>
      <c r="L27" s="10">
        <v>1.117022815025803</v>
      </c>
      <c r="M27" s="9">
        <v>10</v>
      </c>
      <c r="N27" s="10">
        <v>0</v>
      </c>
      <c r="O27" s="11">
        <f t="shared" ref="O27:O32" si="29">L27+N27</f>
        <v>1.117022815025803</v>
      </c>
      <c r="P27" s="41"/>
      <c r="Q27" s="8">
        <v>39.846184813827662</v>
      </c>
      <c r="R27" s="9">
        <v>415.20600000000002</v>
      </c>
      <c r="S27" s="10">
        <v>36.842411936190565</v>
      </c>
      <c r="T27" s="11">
        <f t="shared" ref="T27:T32" si="30">Q27+S27</f>
        <v>76.688596750018235</v>
      </c>
      <c r="V27" s="9">
        <f>W27*[1]FX!$K$5/1000</f>
        <v>8.9059768119536233</v>
      </c>
      <c r="W27" s="9">
        <v>90</v>
      </c>
      <c r="X27" s="14">
        <v>0</v>
      </c>
      <c r="Y27" s="11">
        <f t="shared" ref="Y27:Y32" si="31">V27+X27</f>
        <v>8.9059768119536233</v>
      </c>
      <c r="Z27"/>
      <c r="AA27" s="8">
        <f>(AB27*FX!$J$5)/1000</f>
        <v>48.695506280612555</v>
      </c>
      <c r="AB27" s="9">
        <v>492.096</v>
      </c>
      <c r="AC27" s="10">
        <v>36.842411936190565</v>
      </c>
      <c r="AD27" s="11">
        <f t="shared" ref="AD27:AD32" si="32">AA27+AC27</f>
        <v>85.537918216803121</v>
      </c>
      <c r="AF27" s="8">
        <f>(AG27*FX!$J$5)/1000</f>
        <v>48.695506280612555</v>
      </c>
      <c r="AG27" s="9">
        <v>492.096</v>
      </c>
      <c r="AH27" s="10">
        <v>36.842411936190565</v>
      </c>
      <c r="AI27" s="11">
        <f t="shared" ref="AI27:AI32" si="33">AF27+AH27</f>
        <v>85.537918216803121</v>
      </c>
      <c r="AJ27"/>
      <c r="AK27" s="8">
        <f>(AL27*FX!$J$5)/1000</f>
        <v>31.956425996651991</v>
      </c>
      <c r="AL27" s="9">
        <v>322.93799999999999</v>
      </c>
      <c r="AM27" s="10">
        <v>36.842411936190565</v>
      </c>
      <c r="AN27" s="11">
        <f t="shared" ref="AN27:AN32" si="34">AK27+AM27</f>
        <v>68.798837932842559</v>
      </c>
      <c r="AP27" s="8">
        <f>(AQ27*FX!$J$5)/1000</f>
        <v>31.956425996651991</v>
      </c>
      <c r="AQ27" s="9">
        <v>322.93799999999999</v>
      </c>
      <c r="AR27" s="10">
        <v>36.842411936190565</v>
      </c>
      <c r="AS27" s="11">
        <f t="shared" ref="AS27:AS32" si="35">AP27+AR27</f>
        <v>68.798837932842559</v>
      </c>
      <c r="AU27" s="8">
        <f t="shared" ref="AU27:AW32" si="36">G27+Q27+AA27+AK27</f>
        <v>132.30439407296709</v>
      </c>
      <c r="AV27" s="9">
        <f t="shared" si="36"/>
        <v>1353.2640000000001</v>
      </c>
      <c r="AW27" s="10">
        <f t="shared" si="36"/>
        <v>169.90428986322647</v>
      </c>
      <c r="AX27" s="11">
        <f>AU27+AW27</f>
        <v>302.20868393619355</v>
      </c>
      <c r="AZ27" s="8">
        <f t="shared" ref="AZ27:AZ32" si="37">AP27+AF27+V27+L27</f>
        <v>90.674931904243977</v>
      </c>
      <c r="BA27" s="9">
        <f t="shared" ref="BA27:BA32" si="38">AQ27+AG27+W27+M27</f>
        <v>915.03399999999999</v>
      </c>
      <c r="BB27" s="10">
        <f t="shared" ref="BB27:BB32" si="39">AR27+AH27+X27+N27</f>
        <v>73.684823872381131</v>
      </c>
      <c r="BC27" s="11">
        <f t="shared" ref="BC27:BC28" si="40">AZ27+BB27</f>
        <v>164.35975577662509</v>
      </c>
    </row>
    <row r="28" spans="2:55" x14ac:dyDescent="0.2">
      <c r="B28" s="86"/>
      <c r="C28" s="24">
        <v>119748</v>
      </c>
      <c r="D28" s="7" t="s">
        <v>30</v>
      </c>
      <c r="E28" s="25" t="s">
        <v>39</v>
      </c>
      <c r="G28" s="16">
        <f>H28*[2]FX!$K$5/1000</f>
        <v>27.173124806249611</v>
      </c>
      <c r="H28" s="16">
        <v>274.60000000000002</v>
      </c>
      <c r="I28" s="23">
        <v>118.28922631647221</v>
      </c>
      <c r="J28" s="17">
        <f t="shared" si="28"/>
        <v>145.46235112272183</v>
      </c>
      <c r="L28" s="18">
        <v>4.3434744911879033</v>
      </c>
      <c r="M28" s="16">
        <v>103</v>
      </c>
      <c r="N28" s="18">
        <v>0</v>
      </c>
      <c r="O28" s="17">
        <f t="shared" si="29"/>
        <v>4.3434744911879033</v>
      </c>
      <c r="Q28" s="15">
        <v>35.576025327991537</v>
      </c>
      <c r="R28" s="16">
        <v>370.71000000000004</v>
      </c>
      <c r="S28" s="18">
        <v>62.489114716248991</v>
      </c>
      <c r="T28" s="17">
        <f t="shared" si="30"/>
        <v>98.065140044240536</v>
      </c>
      <c r="V28" s="16">
        <f>W28*[1]FX!$K$5/1000</f>
        <v>19.791059582119164</v>
      </c>
      <c r="W28" s="16">
        <v>200</v>
      </c>
      <c r="X28" s="23">
        <v>62.489114716248999</v>
      </c>
      <c r="Y28" s="17">
        <f t="shared" si="31"/>
        <v>82.280174298368166</v>
      </c>
      <c r="Z28"/>
      <c r="AA28" s="15">
        <f>(AB28*FX!$J$5)/1000</f>
        <v>43.476999689999381</v>
      </c>
      <c r="AB28" s="16">
        <v>439.36</v>
      </c>
      <c r="AC28" s="18">
        <v>33.480066960133918</v>
      </c>
      <c r="AD28" s="17">
        <f t="shared" si="32"/>
        <v>76.957066650133299</v>
      </c>
      <c r="AF28" s="15">
        <f>(AG28*FX!$J$5)/1000</f>
        <v>43.476999689999381</v>
      </c>
      <c r="AG28" s="16">
        <v>439.36</v>
      </c>
      <c r="AH28" s="18">
        <v>33.480066960133918</v>
      </c>
      <c r="AI28" s="17">
        <f t="shared" si="33"/>
        <v>76.957066650133299</v>
      </c>
      <c r="AJ28"/>
      <c r="AK28" s="15">
        <f>(AL28*FX!$J$5)/1000</f>
        <v>28.531781046562088</v>
      </c>
      <c r="AL28" s="16">
        <v>288.33</v>
      </c>
      <c r="AM28" s="18">
        <v>0</v>
      </c>
      <c r="AN28" s="17">
        <f t="shared" si="34"/>
        <v>28.531781046562088</v>
      </c>
      <c r="AP28" s="15">
        <f>(AQ28*FX!$J$5)/1000</f>
        <v>28.531781046562088</v>
      </c>
      <c r="AQ28" s="16">
        <v>288.33</v>
      </c>
      <c r="AR28" s="18">
        <v>0</v>
      </c>
      <c r="AS28" s="17">
        <f t="shared" si="35"/>
        <v>28.531781046562088</v>
      </c>
      <c r="AU28" s="15">
        <f t="shared" si="36"/>
        <v>134.75793087080262</v>
      </c>
      <c r="AV28" s="16">
        <f t="shared" si="36"/>
        <v>1373</v>
      </c>
      <c r="AW28" s="18">
        <f t="shared" si="36"/>
        <v>214.2584079928551</v>
      </c>
      <c r="AX28" s="17">
        <f>AU28+AW28</f>
        <v>349.01633886365772</v>
      </c>
      <c r="AZ28" s="15">
        <f t="shared" si="37"/>
        <v>96.143314809868542</v>
      </c>
      <c r="BA28" s="16">
        <f t="shared" si="38"/>
        <v>1030.69</v>
      </c>
      <c r="BB28" s="18">
        <f t="shared" si="39"/>
        <v>95.969181676382917</v>
      </c>
      <c r="BC28" s="17">
        <f t="shared" si="40"/>
        <v>192.11249648625147</v>
      </c>
    </row>
    <row r="29" spans="2:55" x14ac:dyDescent="0.2">
      <c r="B29" s="86"/>
      <c r="C29" s="24">
        <v>119747</v>
      </c>
      <c r="D29" s="7" t="s">
        <v>30</v>
      </c>
      <c r="E29" s="25" t="s">
        <v>32</v>
      </c>
      <c r="G29" s="16">
        <v>23.515818959216222</v>
      </c>
      <c r="H29" s="16">
        <v>245.04000000000002</v>
      </c>
      <c r="I29" s="23">
        <v>42.882368522946507</v>
      </c>
      <c r="J29" s="17">
        <f t="shared" si="28"/>
        <v>66.398187482162726</v>
      </c>
      <c r="L29" s="18">
        <v>29.084744742944686</v>
      </c>
      <c r="M29" s="16">
        <v>521.75</v>
      </c>
      <c r="N29" s="18">
        <v>22.317180222986075</v>
      </c>
      <c r="O29" s="17">
        <f t="shared" si="29"/>
        <v>51.40192496593076</v>
      </c>
      <c r="Q29" s="15">
        <v>79.365888987354765</v>
      </c>
      <c r="R29" s="16">
        <v>827.0100000000001</v>
      </c>
      <c r="S29" s="18">
        <v>107.20592130736625</v>
      </c>
      <c r="T29" s="17">
        <f t="shared" si="30"/>
        <v>186.57181029472102</v>
      </c>
      <c r="V29" s="16">
        <f>W29*[1]FX!$K$5/1000</f>
        <v>11.874635749271498</v>
      </c>
      <c r="W29" s="16">
        <v>120</v>
      </c>
      <c r="X29" s="23">
        <v>107.20592130736625</v>
      </c>
      <c r="Y29" s="17">
        <f t="shared" si="31"/>
        <v>119.08055705663776</v>
      </c>
      <c r="Z29"/>
      <c r="AA29" s="15">
        <f>(AB29*FX!$J$5)/1000</f>
        <v>96.992024800049592</v>
      </c>
      <c r="AB29" s="16">
        <v>980.16</v>
      </c>
      <c r="AC29" s="18">
        <v>107.20592130736625</v>
      </c>
      <c r="AD29" s="17">
        <f t="shared" si="32"/>
        <v>204.19794610741585</v>
      </c>
      <c r="AF29" s="15">
        <f>(AG29*FX!$J$5)/1000</f>
        <v>96.992024800049592</v>
      </c>
      <c r="AG29" s="16">
        <v>980.16</v>
      </c>
      <c r="AH29" s="18">
        <v>107.20592130736625</v>
      </c>
      <c r="AI29" s="17">
        <f t="shared" si="33"/>
        <v>204.19794610741585</v>
      </c>
      <c r="AJ29"/>
      <c r="AK29" s="15">
        <f>(AL29*FX!$J$5)/1000</f>
        <v>63.651016275032546</v>
      </c>
      <c r="AL29" s="16">
        <v>643.23</v>
      </c>
      <c r="AM29" s="18">
        <v>107.20592130736625</v>
      </c>
      <c r="AN29" s="17">
        <f t="shared" si="34"/>
        <v>170.85693758239881</v>
      </c>
      <c r="AP29" s="15">
        <f>(AQ29*FX!$J$5)/1000</f>
        <v>63.651016275032546</v>
      </c>
      <c r="AQ29" s="16">
        <v>643.23</v>
      </c>
      <c r="AR29" s="18">
        <v>107.20592130736625</v>
      </c>
      <c r="AS29" s="17">
        <f t="shared" si="35"/>
        <v>170.85693758239881</v>
      </c>
      <c r="AU29" s="15">
        <f t="shared" si="36"/>
        <v>263.52474902165312</v>
      </c>
      <c r="AV29" s="16">
        <f t="shared" si="36"/>
        <v>2695.44</v>
      </c>
      <c r="AW29" s="18">
        <f t="shared" si="36"/>
        <v>364.50013244504521</v>
      </c>
      <c r="AX29" s="17">
        <f>AU29+AW29</f>
        <v>628.02488146669839</v>
      </c>
      <c r="AZ29" s="15">
        <f t="shared" si="37"/>
        <v>201.60242156729831</v>
      </c>
      <c r="BA29" s="16">
        <f t="shared" si="38"/>
        <v>2265.14</v>
      </c>
      <c r="BB29" s="18">
        <f t="shared" si="39"/>
        <v>343.93494414508484</v>
      </c>
      <c r="BC29" s="17">
        <f>AZ29+BB29</f>
        <v>545.53736571238312</v>
      </c>
    </row>
    <row r="30" spans="2:55" x14ac:dyDescent="0.2">
      <c r="B30" s="86"/>
      <c r="C30" s="24">
        <v>119749</v>
      </c>
      <c r="D30" s="7" t="s">
        <v>30</v>
      </c>
      <c r="E30" s="35" t="s">
        <v>20</v>
      </c>
      <c r="G30" s="16">
        <v>0</v>
      </c>
      <c r="H30" s="16">
        <v>0</v>
      </c>
      <c r="I30" s="16">
        <v>0</v>
      </c>
      <c r="J30" s="17">
        <f t="shared" si="28"/>
        <v>0</v>
      </c>
      <c r="L30" s="15">
        <v>1.9284403411664774</v>
      </c>
      <c r="M30" s="16">
        <v>0</v>
      </c>
      <c r="N30" s="15">
        <v>0</v>
      </c>
      <c r="O30" s="17">
        <f t="shared" si="29"/>
        <v>1.9284403411664774</v>
      </c>
      <c r="Q30" s="15">
        <v>0</v>
      </c>
      <c r="R30" s="16">
        <v>0</v>
      </c>
      <c r="S30" s="15">
        <v>0</v>
      </c>
      <c r="T30" s="17">
        <f t="shared" si="30"/>
        <v>0</v>
      </c>
      <c r="V30" s="16">
        <f>W30*[1]FX!$K$5/1000</f>
        <v>16.822400644801288</v>
      </c>
      <c r="W30" s="16">
        <v>170</v>
      </c>
      <c r="X30" s="15">
        <v>0</v>
      </c>
      <c r="Y30" s="17">
        <f t="shared" si="31"/>
        <v>16.822400644801288</v>
      </c>
      <c r="Z30"/>
      <c r="AA30" s="15">
        <f>(AB30*FX!$J$5)/1000</f>
        <v>0</v>
      </c>
      <c r="AB30" s="16">
        <v>0</v>
      </c>
      <c r="AC30" s="15">
        <v>0</v>
      </c>
      <c r="AD30" s="17">
        <f t="shared" si="32"/>
        <v>0</v>
      </c>
      <c r="AF30" s="15">
        <f>(AG30*FX!$J$5)/1000</f>
        <v>0</v>
      </c>
      <c r="AG30" s="16">
        <v>0</v>
      </c>
      <c r="AH30" s="15">
        <v>0</v>
      </c>
      <c r="AI30" s="17">
        <f t="shared" si="33"/>
        <v>0</v>
      </c>
      <c r="AJ30"/>
      <c r="AK30" s="15">
        <f>(AL30*FX!$J$5)/1000</f>
        <v>0</v>
      </c>
      <c r="AL30" s="16">
        <v>0</v>
      </c>
      <c r="AM30" s="15">
        <v>0</v>
      </c>
      <c r="AN30" s="17">
        <f t="shared" si="34"/>
        <v>0</v>
      </c>
      <c r="AP30" s="15">
        <f>(AQ30*FX!$J$5)/1000</f>
        <v>0</v>
      </c>
      <c r="AQ30" s="16">
        <v>0</v>
      </c>
      <c r="AR30" s="15">
        <v>0</v>
      </c>
      <c r="AS30" s="17">
        <f t="shared" si="35"/>
        <v>0</v>
      </c>
      <c r="AU30" s="15">
        <f t="shared" si="36"/>
        <v>0</v>
      </c>
      <c r="AV30" s="16">
        <f t="shared" si="36"/>
        <v>0</v>
      </c>
      <c r="AW30" s="15">
        <f t="shared" si="36"/>
        <v>0</v>
      </c>
      <c r="AX30" s="17">
        <f t="shared" ref="AX30:AX32" si="41">AU30+AW30</f>
        <v>0</v>
      </c>
      <c r="AZ30" s="15">
        <f t="shared" si="37"/>
        <v>18.750840985967766</v>
      </c>
      <c r="BA30" s="16">
        <f t="shared" si="38"/>
        <v>170</v>
      </c>
      <c r="BB30" s="15">
        <f t="shared" si="39"/>
        <v>0</v>
      </c>
      <c r="BC30" s="17">
        <f t="shared" ref="BC30:BC32" si="42">AZ30+BB30</f>
        <v>18.750840985967766</v>
      </c>
    </row>
    <row r="31" spans="2:55" x14ac:dyDescent="0.2">
      <c r="B31" s="86"/>
      <c r="C31" s="24">
        <v>121131</v>
      </c>
      <c r="D31" s="7" t="s">
        <v>30</v>
      </c>
      <c r="E31" s="35" t="s">
        <v>16</v>
      </c>
      <c r="G31" s="16">
        <v>0</v>
      </c>
      <c r="H31" s="16">
        <v>0</v>
      </c>
      <c r="I31" s="16">
        <v>0</v>
      </c>
      <c r="J31" s="17">
        <f t="shared" si="28"/>
        <v>0</v>
      </c>
      <c r="L31" s="15">
        <v>6.4427438670789137</v>
      </c>
      <c r="M31" s="16">
        <v>0</v>
      </c>
      <c r="N31" s="15">
        <v>0</v>
      </c>
      <c r="O31" s="17">
        <f t="shared" si="29"/>
        <v>6.4427438670789137</v>
      </c>
      <c r="Q31" s="15">
        <v>0</v>
      </c>
      <c r="R31" s="16">
        <v>0</v>
      </c>
      <c r="S31" s="15">
        <v>0</v>
      </c>
      <c r="T31" s="17">
        <f t="shared" si="30"/>
        <v>0</v>
      </c>
      <c r="V31" s="16">
        <f>W31*[1]FX!$K$5/1000</f>
        <v>32.655248310496617</v>
      </c>
      <c r="W31" s="16">
        <v>330</v>
      </c>
      <c r="X31" s="15">
        <v>0</v>
      </c>
      <c r="Y31" s="17">
        <f t="shared" si="31"/>
        <v>32.655248310496617</v>
      </c>
      <c r="Z31"/>
      <c r="AA31" s="15">
        <f>(AB31*FX!$J$5)/1000</f>
        <v>0</v>
      </c>
      <c r="AB31" s="16">
        <v>0</v>
      </c>
      <c r="AC31" s="15">
        <v>0</v>
      </c>
      <c r="AD31" s="17">
        <f t="shared" si="32"/>
        <v>0</v>
      </c>
      <c r="AF31" s="15">
        <f>(AG31*FX!$J$5)/1000</f>
        <v>0</v>
      </c>
      <c r="AG31" s="16">
        <v>0</v>
      </c>
      <c r="AH31" s="15">
        <v>0</v>
      </c>
      <c r="AI31" s="17">
        <f t="shared" si="33"/>
        <v>0</v>
      </c>
      <c r="AJ31"/>
      <c r="AK31" s="15">
        <f>(AL31*FX!$J$5)/1000</f>
        <v>0</v>
      </c>
      <c r="AL31" s="16">
        <v>0</v>
      </c>
      <c r="AM31" s="15">
        <v>0</v>
      </c>
      <c r="AN31" s="17">
        <f t="shared" si="34"/>
        <v>0</v>
      </c>
      <c r="AP31" s="15">
        <f>(AQ31*FX!$J$5)/1000</f>
        <v>0</v>
      </c>
      <c r="AQ31" s="16">
        <v>0</v>
      </c>
      <c r="AR31" s="15">
        <v>0</v>
      </c>
      <c r="AS31" s="17">
        <f t="shared" si="35"/>
        <v>0</v>
      </c>
      <c r="AU31" s="15">
        <f t="shared" si="36"/>
        <v>0</v>
      </c>
      <c r="AV31" s="16">
        <f t="shared" si="36"/>
        <v>0</v>
      </c>
      <c r="AW31" s="15">
        <f t="shared" si="36"/>
        <v>0</v>
      </c>
      <c r="AX31" s="17">
        <f t="shared" si="41"/>
        <v>0</v>
      </c>
      <c r="AZ31" s="15">
        <f t="shared" si="37"/>
        <v>39.097992177575534</v>
      </c>
      <c r="BA31" s="16">
        <f t="shared" si="38"/>
        <v>330</v>
      </c>
      <c r="BB31" s="15">
        <f t="shared" si="39"/>
        <v>0</v>
      </c>
      <c r="BC31" s="17">
        <f t="shared" si="42"/>
        <v>39.097992177575534</v>
      </c>
    </row>
    <row r="32" spans="2:55" x14ac:dyDescent="0.2">
      <c r="B32" s="86"/>
      <c r="C32" s="24">
        <v>121133</v>
      </c>
      <c r="D32" s="7" t="s">
        <v>30</v>
      </c>
      <c r="E32" s="35" t="s">
        <v>24</v>
      </c>
      <c r="G32" s="16">
        <v>0</v>
      </c>
      <c r="H32" s="16">
        <v>0</v>
      </c>
      <c r="I32" s="16">
        <v>0</v>
      </c>
      <c r="J32" s="17">
        <f t="shared" si="28"/>
        <v>0</v>
      </c>
      <c r="L32" s="15">
        <v>2.6735195638898896</v>
      </c>
      <c r="M32" s="16">
        <v>0</v>
      </c>
      <c r="N32" s="15">
        <v>0</v>
      </c>
      <c r="O32" s="17">
        <f t="shared" si="29"/>
        <v>2.6735195638898896</v>
      </c>
      <c r="Q32" s="15">
        <v>0</v>
      </c>
      <c r="R32" s="16">
        <v>0</v>
      </c>
      <c r="S32" s="15">
        <v>0</v>
      </c>
      <c r="T32" s="17">
        <f t="shared" si="30"/>
        <v>0</v>
      </c>
      <c r="V32" s="16">
        <f>W32*[1]FX!$K$5/1000</f>
        <v>16.822400644801288</v>
      </c>
      <c r="W32" s="16">
        <v>170</v>
      </c>
      <c r="X32" s="15">
        <v>0</v>
      </c>
      <c r="Y32" s="17">
        <f t="shared" si="31"/>
        <v>16.822400644801288</v>
      </c>
      <c r="Z32"/>
      <c r="AA32" s="15">
        <f>(AB32*FX!$J$5)/1000</f>
        <v>0</v>
      </c>
      <c r="AB32" s="16">
        <v>0</v>
      </c>
      <c r="AC32" s="15">
        <v>0</v>
      </c>
      <c r="AD32" s="17">
        <f t="shared" si="32"/>
        <v>0</v>
      </c>
      <c r="AF32" s="15">
        <f>(AG32*FX!$J$5)/1000</f>
        <v>0</v>
      </c>
      <c r="AG32" s="16">
        <v>0</v>
      </c>
      <c r="AH32" s="15">
        <v>0</v>
      </c>
      <c r="AI32" s="17">
        <f t="shared" si="33"/>
        <v>0</v>
      </c>
      <c r="AJ32"/>
      <c r="AK32" s="15">
        <f>(AL32*FX!$J$5)/1000</f>
        <v>0</v>
      </c>
      <c r="AL32" s="16">
        <v>0</v>
      </c>
      <c r="AM32" s="15">
        <v>0</v>
      </c>
      <c r="AN32" s="17">
        <f t="shared" si="34"/>
        <v>0</v>
      </c>
      <c r="AP32" s="15">
        <f>(AQ32*FX!$J$5)/1000</f>
        <v>0</v>
      </c>
      <c r="AQ32" s="16">
        <v>0</v>
      </c>
      <c r="AR32" s="15">
        <v>0</v>
      </c>
      <c r="AS32" s="17">
        <f t="shared" si="35"/>
        <v>0</v>
      </c>
      <c r="AU32" s="15">
        <f t="shared" si="36"/>
        <v>0</v>
      </c>
      <c r="AV32" s="16">
        <f t="shared" si="36"/>
        <v>0</v>
      </c>
      <c r="AW32" s="15">
        <f t="shared" si="36"/>
        <v>0</v>
      </c>
      <c r="AX32" s="17">
        <f t="shared" si="41"/>
        <v>0</v>
      </c>
      <c r="AZ32" s="15">
        <f t="shared" si="37"/>
        <v>19.495920208691178</v>
      </c>
      <c r="BA32" s="16">
        <f t="shared" si="38"/>
        <v>170</v>
      </c>
      <c r="BB32" s="15">
        <f t="shared" si="39"/>
        <v>0</v>
      </c>
      <c r="BC32" s="17">
        <f t="shared" si="42"/>
        <v>19.495920208691178</v>
      </c>
    </row>
    <row r="33" spans="3:55" ht="15" customHeight="1" x14ac:dyDescent="0.2">
      <c r="C33" s="84" t="s">
        <v>40</v>
      </c>
      <c r="D33" s="85"/>
      <c r="E33" s="85"/>
      <c r="G33" s="36">
        <f>SUM(G27:G32)</f>
        <v>62.495220747340696</v>
      </c>
      <c r="H33" s="36">
        <f>SUM(H27:H32)</f>
        <v>642.66399999999999</v>
      </c>
      <c r="I33" s="36">
        <f>SUM(I27:I32)</f>
        <v>220.54864889407352</v>
      </c>
      <c r="J33" s="36">
        <f>SUM(J27:J32)</f>
        <v>283.04386964141418</v>
      </c>
      <c r="L33" s="37">
        <f>SUM(L27:L32)</f>
        <v>45.589945821293675</v>
      </c>
      <c r="M33" s="37">
        <f>SUM(M27:M32)</f>
        <v>634.75</v>
      </c>
      <c r="N33" s="37">
        <f>SUM(N27:N32)</f>
        <v>22.317180222986075</v>
      </c>
      <c r="O33" s="38">
        <f>SUM(O27:O32)</f>
        <v>67.907126044279735</v>
      </c>
      <c r="Q33" s="36">
        <f>SUM(Q27:Q32)</f>
        <v>154.78809912917396</v>
      </c>
      <c r="R33" s="36">
        <f>SUM(R27:R32)</f>
        <v>1612.9260000000002</v>
      </c>
      <c r="S33" s="36">
        <f>SUM(S27:S32)</f>
        <v>206.5374479598058</v>
      </c>
      <c r="T33" s="36">
        <f>SUM(T27:T32)</f>
        <v>361.32554708897976</v>
      </c>
      <c r="V33" s="43">
        <f>SUM(V27:V32)</f>
        <v>106.87172174344349</v>
      </c>
      <c r="W33" s="43">
        <f>SUM(W27:W32)</f>
        <v>1080</v>
      </c>
      <c r="X33" s="43">
        <f>SUM(X27:X32)</f>
        <v>169.69503602361524</v>
      </c>
      <c r="Y33" s="38">
        <f>SUM(Y27:Y32)</f>
        <v>276.56675776705873</v>
      </c>
      <c r="Z33"/>
      <c r="AA33" s="36">
        <f>SUM(AA27:AA32)</f>
        <v>189.16453077066154</v>
      </c>
      <c r="AB33" s="36">
        <f>SUM(AB27:AB32)</f>
        <v>1911.616</v>
      </c>
      <c r="AC33" s="36">
        <f>SUM(AC27:AC32)</f>
        <v>177.52840020369075</v>
      </c>
      <c r="AD33" s="36">
        <f>SUM(AD27:AD32)</f>
        <v>366.69293097435229</v>
      </c>
      <c r="AF33" s="43">
        <f>SUM(AF27:AF32)</f>
        <v>189.16453077066154</v>
      </c>
      <c r="AG33" s="43">
        <f>SUM(AG27:AG32)</f>
        <v>1911.616</v>
      </c>
      <c r="AH33" s="43">
        <f>SUM(AH27:AH32)</f>
        <v>177.52840020369075</v>
      </c>
      <c r="AI33" s="38">
        <f>SUM(AI27:AI32)</f>
        <v>366.69293097435229</v>
      </c>
      <c r="AJ33"/>
      <c r="AK33" s="36">
        <f>SUM(AK27:AK32)</f>
        <v>124.13922331824662</v>
      </c>
      <c r="AL33" s="36">
        <f>SUM(AL27:AL32)</f>
        <v>1254.498</v>
      </c>
      <c r="AM33" s="36">
        <f>SUM(AM27:AM32)</f>
        <v>144.04833324355681</v>
      </c>
      <c r="AN33" s="36">
        <f>SUM(AN27:AN32)</f>
        <v>268.18755656180349</v>
      </c>
      <c r="AP33" s="37">
        <f>SUM(AP27:AP32)</f>
        <v>124.13922331824662</v>
      </c>
      <c r="AQ33" s="37">
        <f>SUM(AQ27:AQ32)</f>
        <v>1254.498</v>
      </c>
      <c r="AR33" s="37">
        <f>SUM(AR27:AR32)</f>
        <v>144.04833324355681</v>
      </c>
      <c r="AS33" s="38">
        <f>SUM(AS27:AS32)</f>
        <v>268.18755656180349</v>
      </c>
      <c r="AU33" s="36">
        <f>SUM(AU27:AU32)</f>
        <v>530.58707396542286</v>
      </c>
      <c r="AV33" s="36">
        <f>SUM(AV27:AV32)</f>
        <v>5421.7039999999997</v>
      </c>
      <c r="AW33" s="36">
        <f>SUM(AW27:AW32)</f>
        <v>748.66283030112675</v>
      </c>
      <c r="AX33" s="36">
        <f>SUM(AX27:AX32)</f>
        <v>1279.2499042665497</v>
      </c>
      <c r="AZ33" s="37">
        <f>SUM(AZ27:AZ32)</f>
        <v>465.76542165364532</v>
      </c>
      <c r="BA33" s="37">
        <f>SUM(BA27:BA32)</f>
        <v>4880.8639999999996</v>
      </c>
      <c r="BB33" s="37">
        <f>SUM(BB27:BB32)</f>
        <v>513.58894969384892</v>
      </c>
      <c r="BC33" s="38">
        <f>SUM(BC27:BC32)</f>
        <v>979.35437134749418</v>
      </c>
    </row>
    <row r="34" spans="3:55" ht="9.75" customHeight="1" x14ac:dyDescent="0.2">
      <c r="H34"/>
      <c r="I34"/>
      <c r="J34"/>
      <c r="L34"/>
      <c r="M34"/>
      <c r="N34"/>
      <c r="O34"/>
      <c r="Q34"/>
      <c r="R34"/>
      <c r="S34"/>
      <c r="T34"/>
      <c r="V34"/>
      <c r="W34"/>
      <c r="X34"/>
      <c r="Y34"/>
      <c r="Z34"/>
      <c r="AA34"/>
      <c r="AB34"/>
      <c r="AC34"/>
      <c r="AD34"/>
      <c r="AF34"/>
      <c r="AG34"/>
      <c r="AH34"/>
      <c r="AI34"/>
      <c r="AJ34"/>
      <c r="AK34"/>
      <c r="AL34"/>
      <c r="AM34"/>
      <c r="AN34"/>
      <c r="AP34"/>
      <c r="AQ34"/>
      <c r="AR34"/>
      <c r="AS34"/>
    </row>
    <row r="35" spans="3:55" ht="15" customHeight="1" x14ac:dyDescent="0.2">
      <c r="C35" s="84" t="s">
        <v>41</v>
      </c>
      <c r="D35" s="85"/>
      <c r="E35" s="85"/>
      <c r="G35" s="36">
        <f>+G33+G25</f>
        <v>1248.798995884481</v>
      </c>
      <c r="H35" s="36">
        <f>+H33+H25</f>
        <v>14878.7</v>
      </c>
      <c r="I35" s="36">
        <f>+I33+I25</f>
        <v>2648.6408791621698</v>
      </c>
      <c r="J35" s="36">
        <f>+J33+J25</f>
        <v>3897.4398750466507</v>
      </c>
      <c r="L35" s="37">
        <f>+L33+L25</f>
        <v>1458.6344117678125</v>
      </c>
      <c r="M35" s="37">
        <f>+M33+M25</f>
        <v>18250.310000000001</v>
      </c>
      <c r="N35" s="37">
        <f>+N33+N25</f>
        <v>2365.8261028192433</v>
      </c>
      <c r="O35" s="38">
        <f>+O33+O25</f>
        <v>3824.460514587056</v>
      </c>
      <c r="Q35" s="36">
        <f>+Q33+Q25</f>
        <v>1684.7709512836041</v>
      </c>
      <c r="R35" s="36">
        <f>+R33+R25</f>
        <v>22872.235000000001</v>
      </c>
      <c r="S35" s="36">
        <f>+S33+S25</f>
        <v>3015.2256411116855</v>
      </c>
      <c r="T35" s="36">
        <f>+T33+T25</f>
        <v>4699.9965923952896</v>
      </c>
      <c r="V35" s="37">
        <f>+V33+V25</f>
        <v>1869.512720435645</v>
      </c>
      <c r="W35" s="37">
        <f>+W33+W25</f>
        <v>22362.48</v>
      </c>
      <c r="X35" s="37">
        <f>+X33+X25</f>
        <v>1904.4180930899465</v>
      </c>
      <c r="Y35" s="38">
        <f>X35+V35</f>
        <v>3773.9308135255915</v>
      </c>
      <c r="Z35"/>
      <c r="AA35" s="36">
        <f>+AA33+AA25</f>
        <v>1830.2093991765466</v>
      </c>
      <c r="AB35" s="36">
        <f>+AB33+AB25</f>
        <v>21725.919999999998</v>
      </c>
      <c r="AC35" s="36">
        <f>+AC33+AC25</f>
        <v>2422.7042706385828</v>
      </c>
      <c r="AD35" s="36">
        <f>+AD33+AD25</f>
        <v>4252.9136698151297</v>
      </c>
      <c r="AF35" s="43">
        <f>+AF33+AF25</f>
        <v>2002.4775407314678</v>
      </c>
      <c r="AG35" s="43">
        <f>+AG33+AG25</f>
        <v>23805.919999999998</v>
      </c>
      <c r="AH35" s="43">
        <f>+AH33+AH25</f>
        <v>2523.8905875144746</v>
      </c>
      <c r="AI35" s="38">
        <f>+AI33+AI25</f>
        <v>4526.368128245942</v>
      </c>
      <c r="AJ35"/>
      <c r="AK35" s="36">
        <f>+AK33+AK25</f>
        <v>1314.9540983240395</v>
      </c>
      <c r="AL35" s="36">
        <f>+AL33+AL25</f>
        <v>15632.634999999998</v>
      </c>
      <c r="AM35" s="36">
        <f>+AM33+AM25</f>
        <v>1861.340112769358</v>
      </c>
      <c r="AN35" s="36">
        <f>+AN33+AN25</f>
        <v>3176.2942110933977</v>
      </c>
      <c r="AP35" s="37">
        <f>+AP33+AP25</f>
        <v>1314.1258861050255</v>
      </c>
      <c r="AQ35" s="37">
        <f>+AQ33+AQ25</f>
        <v>15622.634999999998</v>
      </c>
      <c r="AR35" s="37">
        <f>+AR33+AR25</f>
        <v>2185.9809750997961</v>
      </c>
      <c r="AS35" s="38">
        <f>+AS33+AS25</f>
        <v>3500.1068612048216</v>
      </c>
      <c r="AU35" s="36">
        <f>+AU33+AU25</f>
        <v>6078.73344466867</v>
      </c>
      <c r="AV35" s="36">
        <f>+AV33+AV25</f>
        <v>75109.489999999991</v>
      </c>
      <c r="AW35" s="36">
        <f>+AW33+AW25</f>
        <v>9947.9109036817954</v>
      </c>
      <c r="AX35" s="36">
        <f>+AX33+AX25</f>
        <v>16026.644348350464</v>
      </c>
      <c r="AZ35" s="37">
        <f>+AZ33+AZ25</f>
        <v>6644.7505590399505</v>
      </c>
      <c r="BA35" s="37">
        <f>+BA33+BA25</f>
        <v>80041.345000000001</v>
      </c>
      <c r="BB35" s="37">
        <f>+BB33+BB25</f>
        <v>8980.1157585234596</v>
      </c>
      <c r="BC35" s="38">
        <f>+BC33+BC25</f>
        <v>15624.86631756341</v>
      </c>
    </row>
    <row r="36" spans="3:55" x14ac:dyDescent="0.2">
      <c r="Z36"/>
      <c r="AJ36"/>
    </row>
    <row r="37" spans="3:55" x14ac:dyDescent="0.2">
      <c r="Z37"/>
    </row>
  </sheetData>
  <mergeCells count="19">
    <mergeCell ref="C35:E35"/>
    <mergeCell ref="AA4:AD4"/>
    <mergeCell ref="AK4:AN4"/>
    <mergeCell ref="B6:B20"/>
    <mergeCell ref="C25:E25"/>
    <mergeCell ref="B27:B32"/>
    <mergeCell ref="C33:E33"/>
    <mergeCell ref="L4:O4"/>
    <mergeCell ref="V4:Y4"/>
    <mergeCell ref="AF4:AI4"/>
    <mergeCell ref="G4:J4"/>
    <mergeCell ref="Q4:T4"/>
    <mergeCell ref="AP4:AS4"/>
    <mergeCell ref="AZ4:BC4"/>
    <mergeCell ref="G2:O2"/>
    <mergeCell ref="Q2:Y2"/>
    <mergeCell ref="AA2:AI2"/>
    <mergeCell ref="AK2:AS2"/>
    <mergeCell ref="AU4:AX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53"/>
  <sheetViews>
    <sheetView zoomScale="80" zoomScaleNormal="80" workbookViewId="0" xr3:uid="{958C4451-9541-5A59-BF78-D2F731DF1C81}">
      <selection activeCell="H22" sqref="H22"/>
    </sheetView>
  </sheetViews>
  <sheetFormatPr defaultRowHeight="15" x14ac:dyDescent="0.2"/>
  <cols>
    <col min="6" max="6" width="10.625" bestFit="1" customWidth="1"/>
    <col min="11" max="11" width="12.5078125" bestFit="1" customWidth="1"/>
  </cols>
  <sheetData>
    <row r="3" spans="2:11" x14ac:dyDescent="0.2">
      <c r="B3" s="44" t="s">
        <v>56</v>
      </c>
      <c r="C3" s="45" t="s">
        <v>57</v>
      </c>
      <c r="D3" s="45" t="s">
        <v>58</v>
      </c>
      <c r="G3" s="44" t="s">
        <v>59</v>
      </c>
      <c r="H3" s="45">
        <v>2016</v>
      </c>
      <c r="I3" s="45" t="s">
        <v>60</v>
      </c>
      <c r="J3" s="45" t="s">
        <v>61</v>
      </c>
    </row>
    <row r="4" spans="2:11" x14ac:dyDescent="0.2">
      <c r="B4" s="46" t="s">
        <v>62</v>
      </c>
      <c r="C4" s="47">
        <v>1.32</v>
      </c>
      <c r="D4" s="47">
        <v>1.206</v>
      </c>
      <c r="G4" s="46" t="s">
        <v>63</v>
      </c>
      <c r="H4" s="48">
        <v>106.2</v>
      </c>
      <c r="I4" s="49">
        <f>68.6743133510816</f>
        <v>68.674313351081594</v>
      </c>
      <c r="J4" s="50">
        <f>I4*$D$4</f>
        <v>82.8212219014044</v>
      </c>
    </row>
    <row r="5" spans="2:11" x14ac:dyDescent="0.2">
      <c r="B5" s="46" t="s">
        <v>64</v>
      </c>
      <c r="C5" s="47">
        <v>3.6</v>
      </c>
      <c r="D5" s="47">
        <v>3.2258</v>
      </c>
      <c r="G5" s="46" t="s">
        <v>65</v>
      </c>
      <c r="H5" s="48">
        <v>77</v>
      </c>
      <c r="I5" s="49">
        <v>319.20999999999998</v>
      </c>
      <c r="J5" s="50">
        <f>I5/$D$5</f>
        <v>98.955297910595817</v>
      </c>
      <c r="K5" s="1"/>
    </row>
    <row r="6" spans="2:11" x14ac:dyDescent="0.2">
      <c r="B6" s="1"/>
      <c r="C6" s="2"/>
      <c r="D6" s="2"/>
      <c r="G6" s="46" t="s">
        <v>66</v>
      </c>
      <c r="H6" s="48">
        <v>86.942759634128066</v>
      </c>
      <c r="I6" s="49">
        <f>58.3851189928669</f>
        <v>58.3851189928669</v>
      </c>
      <c r="J6" s="50">
        <f>I6*$D$4</f>
        <v>70.41245350539748</v>
      </c>
    </row>
    <row r="7" spans="2:11" x14ac:dyDescent="0.2">
      <c r="B7" s="1"/>
      <c r="C7" s="1"/>
      <c r="D7" s="1"/>
      <c r="G7" s="46" t="s">
        <v>67</v>
      </c>
      <c r="H7" s="48">
        <v>35.820860710179389</v>
      </c>
      <c r="I7" s="49">
        <v>152.31</v>
      </c>
      <c r="J7" s="50">
        <f>I7/$D$5</f>
        <v>47.216194432388868</v>
      </c>
    </row>
    <row r="10" spans="2:11" ht="15.75" thickBot="1" x14ac:dyDescent="0.25"/>
    <row r="11" spans="2:11" x14ac:dyDescent="0.2">
      <c r="B11" s="88">
        <v>2017</v>
      </c>
      <c r="C11" s="89"/>
      <c r="D11" s="89"/>
      <c r="E11" s="89"/>
      <c r="F11" s="89"/>
      <c r="G11" s="89"/>
      <c r="H11" s="89"/>
      <c r="I11" s="90"/>
    </row>
    <row r="12" spans="2:11" ht="15.75" thickBot="1" x14ac:dyDescent="0.25">
      <c r="B12" s="91"/>
      <c r="C12" s="92"/>
      <c r="D12" s="92"/>
      <c r="E12" s="92"/>
      <c r="F12" s="92"/>
      <c r="G12" s="92"/>
      <c r="H12" s="92"/>
      <c r="I12" s="93"/>
    </row>
    <row r="14" spans="2:11" x14ac:dyDescent="0.2">
      <c r="C14" s="94" t="s">
        <v>68</v>
      </c>
      <c r="D14" s="94"/>
      <c r="E14" s="94"/>
      <c r="G14" s="95" t="s">
        <v>69</v>
      </c>
      <c r="H14" s="95"/>
    </row>
    <row r="16" spans="2:11" x14ac:dyDescent="0.2">
      <c r="B16" s="87" t="s">
        <v>70</v>
      </c>
      <c r="C16" s="51" t="s">
        <v>71</v>
      </c>
      <c r="D16" s="52" t="s">
        <v>72</v>
      </c>
      <c r="E16" s="53">
        <v>1.2327300000000001</v>
      </c>
      <c r="G16" s="2">
        <f>(E16+E19+E22)/3</f>
        <v>1.2374089333333333</v>
      </c>
      <c r="H16" s="95" t="s">
        <v>73</v>
      </c>
    </row>
    <row r="17" spans="2:8" x14ac:dyDescent="0.2">
      <c r="B17" s="87"/>
      <c r="C17" s="51" t="s">
        <v>74</v>
      </c>
      <c r="D17" s="52" t="s">
        <v>71</v>
      </c>
      <c r="E17" s="53">
        <v>3.3451865000000001</v>
      </c>
      <c r="G17" s="2">
        <f>(E17+E20+E23)/3</f>
        <v>3.2076625999999995</v>
      </c>
      <c r="H17" s="95"/>
    </row>
    <row r="18" spans="2:8" x14ac:dyDescent="0.2">
      <c r="E18" s="54"/>
      <c r="G18" s="2"/>
    </row>
    <row r="19" spans="2:8" x14ac:dyDescent="0.2">
      <c r="B19" s="87" t="s">
        <v>75</v>
      </c>
      <c r="C19" s="51" t="s">
        <v>71</v>
      </c>
      <c r="D19" s="52" t="s">
        <v>72</v>
      </c>
      <c r="E19" s="53">
        <v>1.2300513</v>
      </c>
      <c r="G19" s="2"/>
    </row>
    <row r="20" spans="2:8" x14ac:dyDescent="0.2">
      <c r="B20" s="87"/>
      <c r="C20" s="51" t="s">
        <v>74</v>
      </c>
      <c r="D20" s="52" t="s">
        <v>71</v>
      </c>
      <c r="E20" s="53">
        <v>3.2204082999999999</v>
      </c>
      <c r="G20" s="2"/>
    </row>
    <row r="21" spans="2:8" x14ac:dyDescent="0.2">
      <c r="E21" s="54"/>
      <c r="G21" s="2"/>
    </row>
    <row r="22" spans="2:8" x14ac:dyDescent="0.2">
      <c r="B22" s="87" t="s">
        <v>76</v>
      </c>
      <c r="C22" s="51" t="s">
        <v>71</v>
      </c>
      <c r="D22" s="52" t="s">
        <v>72</v>
      </c>
      <c r="E22" s="53">
        <v>1.2494455</v>
      </c>
      <c r="G22" s="2"/>
    </row>
    <row r="23" spans="2:8" x14ac:dyDescent="0.2">
      <c r="B23" s="87"/>
      <c r="C23" s="51" t="s">
        <v>74</v>
      </c>
      <c r="D23" s="52" t="s">
        <v>71</v>
      </c>
      <c r="E23" s="53">
        <v>3.0573929999999998</v>
      </c>
      <c r="G23" s="2"/>
    </row>
    <row r="24" spans="2:8" x14ac:dyDescent="0.2">
      <c r="G24" s="2"/>
    </row>
    <row r="25" spans="2:8" x14ac:dyDescent="0.2">
      <c r="G25" s="2"/>
    </row>
    <row r="26" spans="2:8" x14ac:dyDescent="0.2">
      <c r="B26" s="87" t="s">
        <v>77</v>
      </c>
      <c r="C26" s="51" t="s">
        <v>71</v>
      </c>
      <c r="D26" s="52" t="s">
        <v>72</v>
      </c>
      <c r="E26" s="53">
        <v>1.2505459999999999</v>
      </c>
      <c r="G26" s="2">
        <f>(E26+E29+E32)/3</f>
        <v>0.84369100000000008</v>
      </c>
      <c r="H26" s="95" t="s">
        <v>78</v>
      </c>
    </row>
    <row r="27" spans="2:8" x14ac:dyDescent="0.2">
      <c r="B27" s="87"/>
      <c r="C27" s="51" t="s">
        <v>74</v>
      </c>
      <c r="D27" s="52" t="s">
        <v>71</v>
      </c>
      <c r="E27" s="53">
        <v>3.1296553</v>
      </c>
      <c r="G27" s="2">
        <f>(E27+E30+E33)/3</f>
        <v>2.0929288666666666</v>
      </c>
      <c r="H27" s="95"/>
    </row>
    <row r="28" spans="2:8" x14ac:dyDescent="0.2">
      <c r="E28" s="54"/>
      <c r="G28" s="2"/>
    </row>
    <row r="29" spans="2:8" x14ac:dyDescent="0.2">
      <c r="B29" s="87" t="s">
        <v>79</v>
      </c>
      <c r="C29" s="51" t="s">
        <v>71</v>
      </c>
      <c r="D29" s="52" t="s">
        <v>72</v>
      </c>
      <c r="E29" s="53">
        <v>1.280527</v>
      </c>
      <c r="G29" s="2"/>
    </row>
    <row r="30" spans="2:8" x14ac:dyDescent="0.2">
      <c r="B30" s="87"/>
      <c r="C30" s="51" t="s">
        <v>74</v>
      </c>
      <c r="D30" s="52" t="s">
        <v>71</v>
      </c>
      <c r="E30" s="53">
        <v>3.1491313000000001</v>
      </c>
      <c r="G30" s="2"/>
    </row>
    <row r="31" spans="2:8" x14ac:dyDescent="0.2">
      <c r="E31" s="54"/>
      <c r="G31" s="2"/>
    </row>
    <row r="32" spans="2:8" x14ac:dyDescent="0.2">
      <c r="B32" s="87" t="s">
        <v>80</v>
      </c>
      <c r="C32" s="51" t="s">
        <v>71</v>
      </c>
      <c r="D32" s="52" t="s">
        <v>72</v>
      </c>
      <c r="E32" s="53">
        <v>0</v>
      </c>
      <c r="G32" s="2"/>
    </row>
    <row r="33" spans="2:8" x14ac:dyDescent="0.2">
      <c r="B33" s="87"/>
      <c r="C33" s="51" t="s">
        <v>74</v>
      </c>
      <c r="D33" s="52" t="s">
        <v>71</v>
      </c>
      <c r="E33" s="53">
        <v>0</v>
      </c>
      <c r="G33" s="2"/>
    </row>
    <row r="34" spans="2:8" x14ac:dyDescent="0.2">
      <c r="G34" s="2"/>
    </row>
    <row r="35" spans="2:8" x14ac:dyDescent="0.2">
      <c r="G35" s="2"/>
    </row>
    <row r="36" spans="2:8" x14ac:dyDescent="0.2">
      <c r="B36" s="87" t="s">
        <v>81</v>
      </c>
      <c r="C36" s="51" t="s">
        <v>71</v>
      </c>
      <c r="D36" s="52" t="s">
        <v>72</v>
      </c>
      <c r="E36" s="53">
        <v>0</v>
      </c>
      <c r="G36" s="2">
        <f>(E36+E39+E42)/3</f>
        <v>0</v>
      </c>
      <c r="H36" s="95" t="s">
        <v>82</v>
      </c>
    </row>
    <row r="37" spans="2:8" x14ac:dyDescent="0.2">
      <c r="B37" s="87"/>
      <c r="C37" s="51" t="s">
        <v>74</v>
      </c>
      <c r="D37" s="52" t="s">
        <v>71</v>
      </c>
      <c r="E37" s="53">
        <v>0</v>
      </c>
      <c r="G37" s="2">
        <f>(E37+E40+E43)/3</f>
        <v>0</v>
      </c>
      <c r="H37" s="95"/>
    </row>
    <row r="38" spans="2:8" x14ac:dyDescent="0.2">
      <c r="E38" s="54"/>
      <c r="G38" s="2"/>
    </row>
    <row r="39" spans="2:8" x14ac:dyDescent="0.2">
      <c r="B39" s="87" t="s">
        <v>83</v>
      </c>
      <c r="C39" s="51" t="s">
        <v>71</v>
      </c>
      <c r="D39" s="52" t="s">
        <v>72</v>
      </c>
      <c r="E39" s="53">
        <v>0</v>
      </c>
      <c r="G39" s="2"/>
    </row>
    <row r="40" spans="2:8" x14ac:dyDescent="0.2">
      <c r="B40" s="87"/>
      <c r="C40" s="51" t="s">
        <v>74</v>
      </c>
      <c r="D40" s="52" t="s">
        <v>71</v>
      </c>
      <c r="E40" s="53">
        <v>0</v>
      </c>
      <c r="G40" s="2"/>
    </row>
    <row r="41" spans="2:8" x14ac:dyDescent="0.2">
      <c r="E41" s="54"/>
      <c r="G41" s="2"/>
    </row>
    <row r="42" spans="2:8" x14ac:dyDescent="0.2">
      <c r="B42" s="87" t="s">
        <v>84</v>
      </c>
      <c r="C42" s="51" t="s">
        <v>71</v>
      </c>
      <c r="D42" s="52" t="s">
        <v>72</v>
      </c>
      <c r="E42" s="53">
        <v>0</v>
      </c>
      <c r="G42" s="2"/>
    </row>
    <row r="43" spans="2:8" x14ac:dyDescent="0.2">
      <c r="B43" s="87"/>
      <c r="C43" s="51" t="s">
        <v>74</v>
      </c>
      <c r="D43" s="52" t="s">
        <v>71</v>
      </c>
      <c r="E43" s="53">
        <v>0</v>
      </c>
      <c r="G43" s="2"/>
    </row>
    <row r="44" spans="2:8" x14ac:dyDescent="0.2">
      <c r="G44" s="2"/>
    </row>
    <row r="45" spans="2:8" x14ac:dyDescent="0.2">
      <c r="G45" s="2"/>
    </row>
    <row r="46" spans="2:8" x14ac:dyDescent="0.2">
      <c r="B46" s="87" t="s">
        <v>85</v>
      </c>
      <c r="C46" s="51" t="s">
        <v>71</v>
      </c>
      <c r="D46" s="52" t="s">
        <v>72</v>
      </c>
      <c r="E46" s="53">
        <v>0</v>
      </c>
      <c r="G46" s="2">
        <f>(E46+E49+E52)/3</f>
        <v>0</v>
      </c>
      <c r="H46" s="95" t="s">
        <v>86</v>
      </c>
    </row>
    <row r="47" spans="2:8" x14ac:dyDescent="0.2">
      <c r="B47" s="87"/>
      <c r="C47" s="51" t="s">
        <v>74</v>
      </c>
      <c r="D47" s="52" t="s">
        <v>71</v>
      </c>
      <c r="E47" s="53">
        <v>0</v>
      </c>
      <c r="G47" s="2">
        <f>(E47+E50+E53)/3</f>
        <v>0</v>
      </c>
      <c r="H47" s="95"/>
    </row>
    <row r="48" spans="2:8" x14ac:dyDescent="0.2">
      <c r="E48" s="54"/>
      <c r="G48" s="2"/>
    </row>
    <row r="49" spans="2:7" x14ac:dyDescent="0.2">
      <c r="B49" s="87" t="s">
        <v>87</v>
      </c>
      <c r="C49" s="51" t="s">
        <v>71</v>
      </c>
      <c r="D49" s="52" t="s">
        <v>72</v>
      </c>
      <c r="E49" s="53">
        <v>0</v>
      </c>
      <c r="G49" s="2"/>
    </row>
    <row r="50" spans="2:7" x14ac:dyDescent="0.2">
      <c r="B50" s="87"/>
      <c r="C50" s="51" t="s">
        <v>74</v>
      </c>
      <c r="D50" s="52" t="s">
        <v>71</v>
      </c>
      <c r="E50" s="53">
        <v>0</v>
      </c>
      <c r="G50" s="2"/>
    </row>
    <row r="51" spans="2:7" x14ac:dyDescent="0.2">
      <c r="E51" s="54"/>
      <c r="G51" s="2"/>
    </row>
    <row r="52" spans="2:7" x14ac:dyDescent="0.2">
      <c r="B52" s="87" t="s">
        <v>88</v>
      </c>
      <c r="C52" s="51" t="s">
        <v>71</v>
      </c>
      <c r="D52" s="52" t="s">
        <v>72</v>
      </c>
      <c r="E52" s="53">
        <v>0</v>
      </c>
      <c r="G52" s="2"/>
    </row>
    <row r="53" spans="2:7" x14ac:dyDescent="0.2">
      <c r="B53" s="87"/>
      <c r="C53" s="51" t="s">
        <v>74</v>
      </c>
      <c r="D53" s="52" t="s">
        <v>71</v>
      </c>
      <c r="E53" s="53">
        <v>0</v>
      </c>
      <c r="G53" s="2"/>
    </row>
  </sheetData>
  <mergeCells count="19">
    <mergeCell ref="B52:B53"/>
    <mergeCell ref="B22:B23"/>
    <mergeCell ref="B26:B27"/>
    <mergeCell ref="H26:H27"/>
    <mergeCell ref="B29:B30"/>
    <mergeCell ref="B32:B33"/>
    <mergeCell ref="B36:B37"/>
    <mergeCell ref="H36:H37"/>
    <mergeCell ref="B39:B40"/>
    <mergeCell ref="B42:B43"/>
    <mergeCell ref="B46:B47"/>
    <mergeCell ref="H46:H47"/>
    <mergeCell ref="B49:B50"/>
    <mergeCell ref="B19:B20"/>
    <mergeCell ref="B11:I12"/>
    <mergeCell ref="C14:E14"/>
    <mergeCell ref="G14:H14"/>
    <mergeCell ref="B16:B17"/>
    <mergeCell ref="H16:H17"/>
  </mergeCells>
  <pageMargins left="0.7" right="0.7" top="0.75" bottom="0.75" header="0.3" footer="0.3"/>
  <ignoredErrors>
    <ignoredError sqref="J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2017OP + LE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Guarini, Leonardo (GE Oil &amp; Gas)</dc:creator>
  <cp:lastModifiedBy>Latto, James (GE Oil &amp; Gas)</cp:lastModifiedBy>
  <dcterms:created xsi:type="dcterms:W3CDTF">2017-06-20T16:35:19Z</dcterms:created>
  <dcterms:modified xsi:type="dcterms:W3CDTF">2017-06-21T11:16:12Z</dcterms:modified>
</cp:coreProperties>
</file>