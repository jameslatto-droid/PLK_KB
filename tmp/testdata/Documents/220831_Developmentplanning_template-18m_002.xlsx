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rsrijswijk/Library/CloudStorage/Box-Box/10 - BUSINESS CONDITIONS/07 PMO/1. Project Management HW/0. Project Management/4. Planning/"/>
    </mc:Choice>
  </mc:AlternateContent>
  <xr:revisionPtr revIDLastSave="0" documentId="13_ncr:1_{59468835-188A-A34F-89A0-8A32F3C3CE18}" xr6:coauthVersionLast="47" xr6:coauthVersionMax="47" xr10:uidLastSave="{00000000-0000-0000-0000-000000000000}"/>
  <bookViews>
    <workbookView xWindow="0" yWindow="500" windowWidth="28800" windowHeight="15920" activeTab="3" xr2:uid="{5E7C8D3C-4222-F346-A2EA-34FA4DF348A5}"/>
  </bookViews>
  <sheets>
    <sheet name="Schddule  baseline LOI-COD" sheetId="3" state="hidden" r:id="rId1"/>
    <sheet name="LoI-COD" sheetId="2" state="hidden" r:id="rId2"/>
    <sheet name="Development baseline" sheetId="1" r:id="rId3"/>
    <sheet name="Development baseline II slide" sheetId="4" r:id="rId4"/>
  </sheets>
  <definedNames>
    <definedName name="Sele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4" i="3"/>
  <c r="E27" i="3" s="1"/>
  <c r="E15" i="3"/>
  <c r="E16" i="3"/>
  <c r="E17" i="3"/>
  <c r="E18" i="3"/>
  <c r="E19" i="3"/>
  <c r="E20" i="3"/>
  <c r="E21" i="3"/>
  <c r="E22" i="3"/>
  <c r="E23" i="3"/>
  <c r="D27" i="3"/>
  <c r="C27" i="3"/>
  <c r="E5" i="3"/>
</calcChain>
</file>

<file path=xl/sharedStrings.xml><?xml version="1.0" encoding="utf-8"?>
<sst xmlns="http://schemas.openxmlformats.org/spreadsheetml/2006/main" count="496" uniqueCount="114">
  <si>
    <t>Critical path items</t>
  </si>
  <si>
    <t>Duration</t>
  </si>
  <si>
    <t>Feasibility Phase</t>
  </si>
  <si>
    <t>Definition Phase</t>
  </si>
  <si>
    <t>Total costs</t>
  </si>
  <si>
    <t>Q1</t>
  </si>
  <si>
    <t>Q2</t>
  </si>
  <si>
    <t>Q3</t>
  </si>
  <si>
    <t>Q4</t>
  </si>
  <si>
    <t>j</t>
  </si>
  <si>
    <t>f</t>
  </si>
  <si>
    <t>m</t>
  </si>
  <si>
    <t>a</t>
  </si>
  <si>
    <t>s</t>
  </si>
  <si>
    <t>o</t>
  </si>
  <si>
    <t>n</t>
  </si>
  <si>
    <t>d</t>
  </si>
  <si>
    <t>WP1-Procurement</t>
  </si>
  <si>
    <t>Consultants for feasibility studies</t>
  </si>
  <si>
    <t>1 mth</t>
  </si>
  <si>
    <t>EPC and O&amp;M</t>
  </si>
  <si>
    <t>9 mth</t>
  </si>
  <si>
    <t>WP2 - Contract &amp; Legal</t>
  </si>
  <si>
    <t>Develop &amp; negotiate PPA, Waste Concession, Land</t>
  </si>
  <si>
    <t>12 mth</t>
  </si>
  <si>
    <t>WP3 - Feasibilty &amp; Design</t>
  </si>
  <si>
    <t>Feasibility Study</t>
  </si>
  <si>
    <t>6 mth</t>
  </si>
  <si>
    <t>Permit Assessment</t>
  </si>
  <si>
    <t>Waste Charachterization Study</t>
  </si>
  <si>
    <t>2 x 2 mth</t>
  </si>
  <si>
    <t>Grid Interconnection Study</t>
  </si>
  <si>
    <t>2 mth</t>
  </si>
  <si>
    <t>Geotechnical study (soil, climate, logistics)</t>
  </si>
  <si>
    <t>Waste Management Study</t>
  </si>
  <si>
    <t>3 mth</t>
  </si>
  <si>
    <t>Environmental &amp; Social Impact Assessment (EISA)</t>
  </si>
  <si>
    <t>Financial Modeling</t>
  </si>
  <si>
    <t>Conceptual Design &amp; Feasibility Report</t>
  </si>
  <si>
    <t>Basic Design</t>
  </si>
  <si>
    <t>WP4-Permits and Public Relations</t>
  </si>
  <si>
    <t>10 mth</t>
  </si>
  <si>
    <t>WP5-Funding</t>
  </si>
  <si>
    <t>Preselect lenders</t>
  </si>
  <si>
    <t>Develop lenders agreement</t>
  </si>
  <si>
    <t>Finalize lenders contracts</t>
  </si>
  <si>
    <t>18 mth</t>
  </si>
  <si>
    <t>Key Milestones</t>
  </si>
  <si>
    <t>Project Feasible Y/N?</t>
  </si>
  <si>
    <t>Year 1</t>
  </si>
  <si>
    <t>Year 2</t>
  </si>
  <si>
    <t>Award</t>
  </si>
  <si>
    <t>Year 3</t>
  </si>
  <si>
    <t>Feasibility and Definition Phase</t>
  </si>
  <si>
    <t>EPC Phase</t>
  </si>
  <si>
    <t>36 mth</t>
  </si>
  <si>
    <t>Year 4</t>
  </si>
  <si>
    <t>Year 5</t>
  </si>
  <si>
    <t>Detailed Design</t>
  </si>
  <si>
    <t>Procurement long lead items</t>
  </si>
  <si>
    <t>21 mth</t>
  </si>
  <si>
    <t>Testing, Commissioning and Startup</t>
  </si>
  <si>
    <t>HE equipment</t>
  </si>
  <si>
    <t>t = 0</t>
  </si>
  <si>
    <t>t + 6 mth</t>
  </si>
  <si>
    <t>t + 12 mth</t>
  </si>
  <si>
    <t>t + 18 mth</t>
  </si>
  <si>
    <t>Finalize construction works</t>
  </si>
  <si>
    <t>Detailed design accepted by SPV</t>
  </si>
  <si>
    <t>Critical path</t>
  </si>
  <si>
    <t>Technical Close: design freeze</t>
  </si>
  <si>
    <t>Commercial Operation Date</t>
  </si>
  <si>
    <t>Project Milestones</t>
  </si>
  <si>
    <t>Financial Close = t + 18</t>
  </si>
  <si>
    <t>Technical Close = t + 12</t>
  </si>
  <si>
    <t>Project Feasible Y/N? = t + 6</t>
  </si>
  <si>
    <t>Award = t = 0</t>
  </si>
  <si>
    <t>FC + 6 mth</t>
  </si>
  <si>
    <t>FC + 24 mth</t>
  </si>
  <si>
    <r>
      <t>Financial Close (</t>
    </r>
    <r>
      <rPr>
        <b/>
        <sz val="12"/>
        <color theme="1"/>
        <rFont val="Calibri Light"/>
        <family val="2"/>
      </rPr>
      <t>FC</t>
    </r>
    <r>
      <rPr>
        <sz val="12"/>
        <color theme="1"/>
        <rFont val="Calibri Light"/>
        <family val="2"/>
      </rPr>
      <t>)</t>
    </r>
  </si>
  <si>
    <t>EPC contract development</t>
  </si>
  <si>
    <t>Setup &amp; funding of SVP</t>
  </si>
  <si>
    <t>Project Development</t>
  </si>
  <si>
    <t>EPC</t>
  </si>
  <si>
    <t>30 mth</t>
  </si>
  <si>
    <t>Procurement &amp; Construction</t>
  </si>
  <si>
    <t>FC + 30 mth</t>
  </si>
  <si>
    <t>Construction non critical parts of WtE</t>
  </si>
  <si>
    <t>Construction of process works, including HE equipment</t>
  </si>
  <si>
    <t>EPC contracting</t>
  </si>
  <si>
    <t>EPC employer requirements &amp; contract development</t>
  </si>
  <si>
    <t>Develop &amp; negotiate PPA, Waste Concession</t>
  </si>
  <si>
    <t>Basic Design &amp; Employer requirements</t>
  </si>
  <si>
    <t>Obtain permits</t>
  </si>
  <si>
    <t>EPC selection &amp; contract development</t>
  </si>
  <si>
    <t>SPV project development</t>
  </si>
  <si>
    <t>Name</t>
  </si>
  <si>
    <t>Project Director</t>
  </si>
  <si>
    <t>TBD</t>
  </si>
  <si>
    <t>PMO support</t>
  </si>
  <si>
    <t>Procurement Manager</t>
  </si>
  <si>
    <t>Technical Manager</t>
  </si>
  <si>
    <t>Finance Manager</t>
  </si>
  <si>
    <t>Director Operations</t>
  </si>
  <si>
    <t>Lars</t>
  </si>
  <si>
    <t>Procurement Director</t>
  </si>
  <si>
    <t>Technical Director</t>
  </si>
  <si>
    <t>Jim</t>
  </si>
  <si>
    <t>Bas</t>
  </si>
  <si>
    <r>
      <t xml:space="preserve">SPV team </t>
    </r>
    <r>
      <rPr>
        <sz val="12"/>
        <color theme="1"/>
        <rFont val="Calibri Light"/>
        <family val="2"/>
      </rPr>
      <t>(in Full Time Equivalent)</t>
    </r>
  </si>
  <si>
    <t>FTE</t>
  </si>
  <si>
    <t>Starts 1/5/24</t>
  </si>
  <si>
    <t>Basic design &amp; employer requirements</t>
  </si>
  <si>
    <r>
      <t xml:space="preserve">HQ Support  </t>
    </r>
    <r>
      <rPr>
        <sz val="12"/>
        <color theme="1"/>
        <rFont val="Calibri Light"/>
        <family val="2"/>
      </rPr>
      <t>(in Full Time Equivalent)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</si>
</sst>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_ [$USD]\ * #,##0_ ;_ [$USD]\ * \-#,##0_ ;_ [$USD]\ * &quot;-&quot;_ ;_ @_ "/>
    <numFmt numFmtId="165" formatCode="dd\ mmm\ yy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u/>
      <sz val="12"/>
      <color theme="1"/>
      <name val="Calibri Light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33B0B"/>
        <bgColor indexed="64"/>
      </patternFill>
    </fill>
    <fill>
      <patternFill patternType="solid">
        <fgColor rgb="FFBFBFB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left" indent="1"/>
    </xf>
    <xf numFmtId="0" fontId="3" fillId="0" borderId="10" xfId="0" applyFont="1" applyBorder="1"/>
    <xf numFmtId="164" fontId="3" fillId="0" borderId="10" xfId="1" applyNumberFormat="1" applyFont="1" applyBorder="1" applyAlignment="1">
      <alignment horizontal="left" indent="1"/>
    </xf>
    <xf numFmtId="0" fontId="3" fillId="2" borderId="10" xfId="0" applyFont="1" applyFill="1" applyBorder="1"/>
    <xf numFmtId="0" fontId="3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left" indent="2"/>
    </xf>
    <xf numFmtId="0" fontId="3" fillId="3" borderId="10" xfId="0" applyFont="1" applyFill="1" applyBorder="1"/>
    <xf numFmtId="0" fontId="3" fillId="0" borderId="13" xfId="0" applyFont="1" applyBorder="1"/>
    <xf numFmtId="164" fontId="3" fillId="0" borderId="0" xfId="1" applyNumberFormat="1" applyFont="1"/>
    <xf numFmtId="0" fontId="2" fillId="0" borderId="6" xfId="0" applyFont="1" applyBorder="1"/>
    <xf numFmtId="164" fontId="2" fillId="0" borderId="7" xfId="1" applyNumberFormat="1" applyFont="1" applyBorder="1"/>
    <xf numFmtId="165" fontId="3" fillId="0" borderId="10" xfId="0" applyNumberFormat="1" applyFont="1" applyBorder="1" applyAlignment="1">
      <alignment horizontal="left"/>
    </xf>
    <xf numFmtId="0" fontId="3" fillId="4" borderId="10" xfId="0" applyFont="1" applyFill="1" applyBorder="1"/>
    <xf numFmtId="0" fontId="3" fillId="0" borderId="12" xfId="0" applyFont="1" applyBorder="1" applyAlignment="1">
      <alignment horizontal="left" indent="1"/>
    </xf>
    <xf numFmtId="165" fontId="3" fillId="0" borderId="13" xfId="0" applyNumberFormat="1" applyFont="1" applyBorder="1" applyAlignment="1">
      <alignment horizontal="left"/>
    </xf>
    <xf numFmtId="164" fontId="3" fillId="0" borderId="13" xfId="1" applyNumberFormat="1" applyFont="1" applyBorder="1" applyAlignment="1">
      <alignment horizontal="left" indent="1"/>
    </xf>
    <xf numFmtId="0" fontId="3" fillId="4" borderId="14" xfId="0" applyFont="1" applyFill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2" fillId="0" borderId="9" xfId="0" applyFont="1" applyBorder="1" applyAlignment="1">
      <alignment horizontal="left" indent="1"/>
    </xf>
    <xf numFmtId="0" fontId="3" fillId="0" borderId="9" xfId="0" applyFont="1" applyBorder="1" applyAlignment="1">
      <alignment horizontal="left" indent="3"/>
    </xf>
    <xf numFmtId="0" fontId="2" fillId="0" borderId="10" xfId="0" applyFont="1" applyBorder="1"/>
    <xf numFmtId="0" fontId="2" fillId="5" borderId="6" xfId="0" applyFont="1" applyFill="1" applyBorder="1" applyAlignment="1">
      <alignment horizontal="left"/>
    </xf>
    <xf numFmtId="0" fontId="2" fillId="0" borderId="7" xfId="0" applyFont="1" applyBorder="1"/>
    <xf numFmtId="0" fontId="3" fillId="5" borderId="7" xfId="0" applyFont="1" applyFill="1" applyBorder="1"/>
    <xf numFmtId="0" fontId="3" fillId="0" borderId="18" xfId="0" applyFont="1" applyBorder="1" applyAlignment="1">
      <alignment horizontal="left" indent="1"/>
    </xf>
    <xf numFmtId="165" fontId="3" fillId="0" borderId="19" xfId="0" applyNumberFormat="1" applyFont="1" applyBorder="1" applyAlignment="1">
      <alignment horizontal="left"/>
    </xf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" fillId="6" borderId="9" xfId="0" applyFont="1" applyFill="1" applyBorder="1" applyAlignment="1">
      <alignment horizontal="left"/>
    </xf>
    <xf numFmtId="0" fontId="3" fillId="6" borderId="10" xfId="0" applyFont="1" applyFill="1" applyBorder="1"/>
    <xf numFmtId="0" fontId="3" fillId="7" borderId="10" xfId="0" applyFont="1" applyFill="1" applyBorder="1"/>
    <xf numFmtId="0" fontId="3" fillId="7" borderId="20" xfId="0" applyFont="1" applyFill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Border="1" applyAlignment="1">
      <alignment horizontal="left" vertical="center"/>
    </xf>
    <xf numFmtId="164" fontId="3" fillId="0" borderId="0" xfId="1" applyNumberFormat="1" applyFont="1" applyBorder="1" applyAlignment="1">
      <alignment horizontal="left" indent="2"/>
    </xf>
    <xf numFmtId="164" fontId="3" fillId="0" borderId="0" xfId="1" applyNumberFormat="1" applyFont="1" applyBorder="1" applyAlignment="1">
      <alignment horizontal="left" indent="1"/>
    </xf>
    <xf numFmtId="0" fontId="3" fillId="8" borderId="0" xfId="0" applyFont="1" applyFill="1"/>
    <xf numFmtId="0" fontId="3" fillId="2" borderId="0" xfId="0" applyFont="1" applyFill="1"/>
    <xf numFmtId="0" fontId="3" fillId="0" borderId="0" xfId="0" applyFont="1" applyAlignment="1">
      <alignment horizontal="center"/>
    </xf>
    <xf numFmtId="164" fontId="4" fillId="0" borderId="0" xfId="1" applyNumberFormat="1" applyFont="1" applyBorder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3" borderId="0" xfId="0" applyFont="1" applyFill="1"/>
    <xf numFmtId="0" fontId="2" fillId="0" borderId="0" xfId="0" applyFont="1"/>
    <xf numFmtId="164" fontId="2" fillId="0" borderId="0" xfId="1" applyNumberFormat="1" applyFont="1" applyBorder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9" borderId="13" xfId="0" applyFont="1" applyFill="1" applyBorder="1"/>
    <xf numFmtId="0" fontId="3" fillId="0" borderId="14" xfId="0" applyFont="1" applyBorder="1"/>
    <xf numFmtId="0" fontId="3" fillId="10" borderId="10" xfId="0" applyFont="1" applyFill="1" applyBorder="1"/>
    <xf numFmtId="0" fontId="3" fillId="0" borderId="18" xfId="0" applyFont="1" applyBorder="1" applyAlignment="1">
      <alignment horizontal="left" indent="2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BFBFBF"/>
      <color rgb="FF833B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BADF-4B5F-AF46-B718-9D37CDFFC20F}">
  <sheetPr>
    <tabColor rgb="FF92D050"/>
  </sheetPr>
  <dimension ref="A1:BM35"/>
  <sheetViews>
    <sheetView zoomScale="130" zoomScaleNormal="130" workbookViewId="0">
      <selection activeCell="A38" sqref="A38:XFD40"/>
    </sheetView>
  </sheetViews>
  <sheetFormatPr baseColWidth="10" defaultRowHeight="16" outlineLevelRow="1" outlineLevelCol="1" x14ac:dyDescent="0.2"/>
  <cols>
    <col min="1" max="1" width="49" style="1" bestFit="1" customWidth="1"/>
    <col min="2" max="2" width="9.5" style="1" bestFit="1" customWidth="1"/>
    <col min="3" max="4" width="15.5" style="1" hidden="1" customWidth="1" outlineLevel="1"/>
    <col min="5" max="5" width="17.33203125" style="13" hidden="1" customWidth="1" outlineLevel="1"/>
    <col min="6" max="6" width="2.83203125" style="1" customWidth="1" collapsed="1"/>
    <col min="7" max="98" width="2.83203125" style="1" customWidth="1"/>
    <col min="99" max="16384" width="10.83203125" style="1"/>
  </cols>
  <sheetData>
    <row r="1" spans="1:65" x14ac:dyDescent="0.2">
      <c r="A1" s="64" t="s">
        <v>0</v>
      </c>
      <c r="B1" s="64" t="s">
        <v>1</v>
      </c>
      <c r="C1" s="65" t="s">
        <v>2</v>
      </c>
      <c r="D1" s="65" t="s">
        <v>3</v>
      </c>
      <c r="E1" s="65" t="s">
        <v>4</v>
      </c>
      <c r="F1" s="63">
        <v>2023</v>
      </c>
      <c r="G1" s="63"/>
      <c r="H1" s="63"/>
      <c r="I1" s="63"/>
      <c r="J1" s="63"/>
      <c r="K1" s="63"/>
      <c r="L1" s="63">
        <v>2024</v>
      </c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 t="s">
        <v>52</v>
      </c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 t="s">
        <v>56</v>
      </c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 t="s">
        <v>57</v>
      </c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53"/>
      <c r="BI1" s="53"/>
      <c r="BJ1" s="53"/>
      <c r="BK1" s="53"/>
      <c r="BL1" s="53"/>
      <c r="BM1" s="53"/>
    </row>
    <row r="2" spans="1:65" x14ac:dyDescent="0.2">
      <c r="A2" s="64"/>
      <c r="B2" s="64"/>
      <c r="C2" s="65"/>
      <c r="D2" s="65"/>
      <c r="E2" s="65"/>
      <c r="F2" s="63" t="s">
        <v>7</v>
      </c>
      <c r="G2" s="63"/>
      <c r="H2" s="63"/>
      <c r="I2" s="63" t="s">
        <v>8</v>
      </c>
      <c r="J2" s="63"/>
      <c r="K2" s="63"/>
      <c r="L2" s="63" t="s">
        <v>5</v>
      </c>
      <c r="M2" s="63"/>
      <c r="N2" s="63"/>
      <c r="O2" s="63" t="s">
        <v>6</v>
      </c>
      <c r="P2" s="63"/>
      <c r="Q2" s="63"/>
      <c r="R2" s="63" t="s">
        <v>7</v>
      </c>
      <c r="S2" s="63"/>
      <c r="T2" s="63"/>
      <c r="U2" s="63" t="s">
        <v>8</v>
      </c>
      <c r="V2" s="63"/>
      <c r="W2" s="63"/>
      <c r="X2" s="63" t="s">
        <v>5</v>
      </c>
      <c r="Y2" s="63"/>
      <c r="Z2" s="63"/>
      <c r="AA2" s="63" t="s">
        <v>6</v>
      </c>
      <c r="AB2" s="63"/>
      <c r="AC2" s="63"/>
      <c r="AD2" s="63" t="s">
        <v>7</v>
      </c>
      <c r="AE2" s="63"/>
      <c r="AF2" s="63"/>
      <c r="AG2" s="63" t="s">
        <v>8</v>
      </c>
      <c r="AH2" s="63"/>
      <c r="AI2" s="63"/>
      <c r="AJ2" s="63" t="s">
        <v>5</v>
      </c>
      <c r="AK2" s="63"/>
      <c r="AL2" s="63"/>
      <c r="AM2" s="63" t="s">
        <v>6</v>
      </c>
      <c r="AN2" s="63"/>
      <c r="AO2" s="63"/>
      <c r="AP2" s="63" t="s">
        <v>7</v>
      </c>
      <c r="AQ2" s="63"/>
      <c r="AR2" s="63"/>
      <c r="AS2" s="63" t="s">
        <v>8</v>
      </c>
      <c r="AT2" s="63"/>
      <c r="AU2" s="63"/>
      <c r="AV2" s="63" t="s">
        <v>5</v>
      </c>
      <c r="AW2" s="63"/>
      <c r="AX2" s="63"/>
      <c r="AY2" s="63" t="s">
        <v>6</v>
      </c>
      <c r="AZ2" s="63"/>
      <c r="BA2" s="63"/>
      <c r="BB2" s="63" t="s">
        <v>7</v>
      </c>
      <c r="BC2" s="63"/>
      <c r="BD2" s="63"/>
      <c r="BE2" s="63" t="s">
        <v>8</v>
      </c>
      <c r="BF2" s="63"/>
      <c r="BG2" s="63"/>
      <c r="BH2" s="63" t="s">
        <v>5</v>
      </c>
      <c r="BI2" s="63"/>
      <c r="BJ2" s="63"/>
      <c r="BK2" s="63" t="s">
        <v>6</v>
      </c>
      <c r="BL2" s="63"/>
      <c r="BM2" s="63"/>
    </row>
    <row r="3" spans="1:65" x14ac:dyDescent="0.2">
      <c r="A3" s="64"/>
      <c r="B3" s="64"/>
      <c r="C3" s="65"/>
      <c r="D3" s="65"/>
      <c r="E3" s="65"/>
      <c r="F3" s="43" t="s">
        <v>9</v>
      </c>
      <c r="G3" s="43" t="s">
        <v>10</v>
      </c>
      <c r="H3" s="43" t="s">
        <v>11</v>
      </c>
      <c r="I3" s="43" t="s">
        <v>12</v>
      </c>
      <c r="J3" s="43" t="s">
        <v>11</v>
      </c>
      <c r="K3" s="43" t="s">
        <v>9</v>
      </c>
      <c r="L3" s="43" t="s">
        <v>9</v>
      </c>
      <c r="M3" s="43" t="s">
        <v>12</v>
      </c>
      <c r="N3" s="43" t="s">
        <v>13</v>
      </c>
      <c r="O3" s="43" t="s">
        <v>14</v>
      </c>
      <c r="P3" s="43" t="s">
        <v>15</v>
      </c>
      <c r="Q3" s="43" t="s">
        <v>16</v>
      </c>
      <c r="R3" s="43" t="s">
        <v>9</v>
      </c>
      <c r="S3" s="43" t="s">
        <v>10</v>
      </c>
      <c r="T3" s="43" t="s">
        <v>11</v>
      </c>
      <c r="U3" s="43" t="s">
        <v>12</v>
      </c>
      <c r="V3" s="43" t="s">
        <v>11</v>
      </c>
      <c r="W3" s="43" t="s">
        <v>9</v>
      </c>
      <c r="X3" s="43" t="s">
        <v>9</v>
      </c>
      <c r="Y3" s="43" t="s">
        <v>12</v>
      </c>
      <c r="Z3" s="43" t="s">
        <v>13</v>
      </c>
      <c r="AA3" s="43" t="s">
        <v>14</v>
      </c>
      <c r="AB3" s="43" t="s">
        <v>15</v>
      </c>
      <c r="AC3" s="43" t="s">
        <v>16</v>
      </c>
      <c r="AD3" s="43" t="s">
        <v>9</v>
      </c>
      <c r="AE3" s="43" t="s">
        <v>10</v>
      </c>
      <c r="AF3" s="43" t="s">
        <v>11</v>
      </c>
      <c r="AG3" s="43" t="s">
        <v>12</v>
      </c>
      <c r="AH3" s="43" t="s">
        <v>11</v>
      </c>
      <c r="AI3" s="43" t="s">
        <v>9</v>
      </c>
      <c r="AJ3" s="43" t="s">
        <v>9</v>
      </c>
      <c r="AK3" s="43" t="s">
        <v>12</v>
      </c>
      <c r="AL3" s="43" t="s">
        <v>13</v>
      </c>
      <c r="AM3" s="43" t="s">
        <v>14</v>
      </c>
      <c r="AN3" s="43" t="s">
        <v>15</v>
      </c>
      <c r="AO3" s="43" t="s">
        <v>16</v>
      </c>
      <c r="AP3" s="43" t="s">
        <v>9</v>
      </c>
      <c r="AQ3" s="43" t="s">
        <v>10</v>
      </c>
      <c r="AR3" s="43" t="s">
        <v>11</v>
      </c>
      <c r="AS3" s="43" t="s">
        <v>12</v>
      </c>
      <c r="AT3" s="43" t="s">
        <v>11</v>
      </c>
      <c r="AU3" s="43" t="s">
        <v>9</v>
      </c>
      <c r="AV3" s="43" t="s">
        <v>9</v>
      </c>
      <c r="AW3" s="43" t="s">
        <v>12</v>
      </c>
      <c r="AX3" s="43" t="s">
        <v>13</v>
      </c>
      <c r="AY3" s="43" t="s">
        <v>14</v>
      </c>
      <c r="AZ3" s="43" t="s">
        <v>15</v>
      </c>
      <c r="BA3" s="43" t="s">
        <v>16</v>
      </c>
      <c r="BB3" s="43" t="s">
        <v>9</v>
      </c>
      <c r="BC3" s="43" t="s">
        <v>10</v>
      </c>
      <c r="BD3" s="43" t="s">
        <v>11</v>
      </c>
      <c r="BE3" s="43" t="s">
        <v>12</v>
      </c>
      <c r="BF3" s="43" t="s">
        <v>11</v>
      </c>
      <c r="BG3" s="43" t="s">
        <v>9</v>
      </c>
      <c r="BH3" s="43" t="s">
        <v>9</v>
      </c>
      <c r="BI3" s="43" t="s">
        <v>12</v>
      </c>
      <c r="BJ3" s="43" t="s">
        <v>13</v>
      </c>
      <c r="BK3" s="43" t="s">
        <v>14</v>
      </c>
      <c r="BL3" s="43" t="s">
        <v>15</v>
      </c>
      <c r="BM3" s="43" t="s">
        <v>16</v>
      </c>
    </row>
    <row r="4" spans="1:65" x14ac:dyDescent="0.2">
      <c r="A4" s="42" t="s">
        <v>82</v>
      </c>
      <c r="B4" s="42" t="s">
        <v>46</v>
      </c>
      <c r="C4" s="44"/>
      <c r="D4" s="44"/>
      <c r="E4" s="44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65" x14ac:dyDescent="0.2">
      <c r="A5" s="55" t="s">
        <v>17</v>
      </c>
      <c r="C5" s="45">
        <v>0</v>
      </c>
      <c r="D5" s="46">
        <v>50000</v>
      </c>
      <c r="E5" s="45">
        <f>SUM(C5:D5)</f>
        <v>50000</v>
      </c>
    </row>
    <row r="6" spans="1:65" x14ac:dyDescent="0.2">
      <c r="A6" s="51" t="s">
        <v>18</v>
      </c>
      <c r="B6" s="1" t="s">
        <v>19</v>
      </c>
      <c r="C6" s="45"/>
      <c r="D6" s="46"/>
      <c r="E6" s="45"/>
      <c r="F6" s="47"/>
    </row>
    <row r="7" spans="1:65" x14ac:dyDescent="0.2">
      <c r="A7" s="51" t="s">
        <v>80</v>
      </c>
      <c r="B7" s="1" t="s">
        <v>27</v>
      </c>
      <c r="C7" s="45"/>
      <c r="D7" s="46"/>
      <c r="E7" s="45"/>
      <c r="L7" s="48"/>
      <c r="M7" s="48"/>
      <c r="N7" s="48"/>
      <c r="O7" s="48"/>
      <c r="P7" s="48"/>
      <c r="Q7" s="48"/>
    </row>
    <row r="8" spans="1:65" x14ac:dyDescent="0.2">
      <c r="A8" s="51" t="s">
        <v>89</v>
      </c>
      <c r="B8" s="1" t="s">
        <v>35</v>
      </c>
      <c r="C8" s="45"/>
      <c r="D8" s="46"/>
      <c r="E8" s="45"/>
      <c r="Q8" s="49"/>
      <c r="R8" s="47"/>
      <c r="S8" s="47"/>
      <c r="T8" s="47"/>
    </row>
    <row r="9" spans="1:65" x14ac:dyDescent="0.2">
      <c r="A9" s="55" t="s">
        <v>22</v>
      </c>
      <c r="C9" s="50"/>
      <c r="D9" s="50"/>
      <c r="E9" s="50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</row>
    <row r="10" spans="1:65" x14ac:dyDescent="0.2">
      <c r="A10" s="51" t="s">
        <v>81</v>
      </c>
      <c r="C10" s="50"/>
      <c r="D10" s="50"/>
      <c r="E10" s="50"/>
      <c r="F10" s="48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</row>
    <row r="11" spans="1:65" x14ac:dyDescent="0.2">
      <c r="A11" s="51" t="s">
        <v>91</v>
      </c>
      <c r="B11" s="1" t="s">
        <v>27</v>
      </c>
      <c r="C11" s="45">
        <v>150000</v>
      </c>
      <c r="D11" s="45">
        <v>250000</v>
      </c>
      <c r="E11" s="45">
        <f>SUM(C11:D11)</f>
        <v>400000</v>
      </c>
      <c r="L11" s="48"/>
      <c r="M11" s="48"/>
      <c r="N11" s="48"/>
      <c r="O11" s="48"/>
      <c r="P11" s="48"/>
      <c r="Q11" s="48"/>
    </row>
    <row r="12" spans="1:65" x14ac:dyDescent="0.2">
      <c r="A12" s="55" t="s">
        <v>25</v>
      </c>
      <c r="C12" s="50"/>
      <c r="D12" s="50"/>
      <c r="E12" s="50"/>
    </row>
    <row r="13" spans="1:65" x14ac:dyDescent="0.2">
      <c r="A13" s="51" t="s">
        <v>26</v>
      </c>
      <c r="B13" s="1" t="s">
        <v>27</v>
      </c>
      <c r="C13" s="50"/>
      <c r="D13" s="50"/>
      <c r="E13" s="50"/>
      <c r="F13" s="47"/>
      <c r="G13" s="47"/>
      <c r="H13" s="47"/>
      <c r="I13" s="47"/>
      <c r="J13" s="47"/>
      <c r="K13" s="47"/>
    </row>
    <row r="14" spans="1:65" outlineLevel="1" x14ac:dyDescent="0.2">
      <c r="A14" s="56" t="s">
        <v>28</v>
      </c>
      <c r="B14" s="1" t="s">
        <v>19</v>
      </c>
      <c r="C14" s="45">
        <v>10000</v>
      </c>
      <c r="D14" s="45">
        <v>0</v>
      </c>
      <c r="E14" s="45">
        <f>SUM(C14:D14)</f>
        <v>10000</v>
      </c>
      <c r="G14" s="52"/>
    </row>
    <row r="15" spans="1:65" outlineLevel="1" x14ac:dyDescent="0.2">
      <c r="A15" s="56" t="s">
        <v>29</v>
      </c>
      <c r="B15" s="1" t="s">
        <v>30</v>
      </c>
      <c r="C15" s="45">
        <v>90000</v>
      </c>
      <c r="D15" s="45">
        <v>0</v>
      </c>
      <c r="E15" s="45">
        <f t="shared" ref="E15:E23" si="0">SUM(C15:D15)</f>
        <v>90000</v>
      </c>
      <c r="G15" s="52"/>
      <c r="H15" s="52"/>
      <c r="K15" s="52"/>
      <c r="L15" s="52"/>
    </row>
    <row r="16" spans="1:65" outlineLevel="1" x14ac:dyDescent="0.2">
      <c r="A16" s="56" t="s">
        <v>31</v>
      </c>
      <c r="B16" s="1" t="s">
        <v>32</v>
      </c>
      <c r="C16" s="45">
        <v>60000</v>
      </c>
      <c r="D16" s="45">
        <v>0</v>
      </c>
      <c r="E16" s="45">
        <f t="shared" si="0"/>
        <v>60000</v>
      </c>
      <c r="G16" s="52"/>
      <c r="H16" s="52"/>
    </row>
    <row r="17" spans="1:53" outlineLevel="1" x14ac:dyDescent="0.2">
      <c r="A17" s="56" t="s">
        <v>33</v>
      </c>
      <c r="B17" s="1" t="s">
        <v>32</v>
      </c>
      <c r="C17" s="45">
        <v>25000</v>
      </c>
      <c r="D17" s="45">
        <v>0</v>
      </c>
      <c r="E17" s="45">
        <f t="shared" si="0"/>
        <v>25000</v>
      </c>
      <c r="G17" s="52"/>
      <c r="H17" s="52"/>
    </row>
    <row r="18" spans="1:53" outlineLevel="1" x14ac:dyDescent="0.2">
      <c r="A18" s="56" t="s">
        <v>34</v>
      </c>
      <c r="B18" s="1" t="s">
        <v>35</v>
      </c>
      <c r="C18" s="45">
        <v>35000</v>
      </c>
      <c r="D18" s="45">
        <v>0</v>
      </c>
      <c r="E18" s="45">
        <f t="shared" si="0"/>
        <v>35000</v>
      </c>
      <c r="I18" s="52"/>
      <c r="J18" s="52"/>
      <c r="K18" s="52"/>
    </row>
    <row r="19" spans="1:53" outlineLevel="1" x14ac:dyDescent="0.2">
      <c r="A19" s="56" t="s">
        <v>36</v>
      </c>
      <c r="B19" s="1" t="s">
        <v>27</v>
      </c>
      <c r="C19" s="45">
        <v>75000</v>
      </c>
      <c r="D19" s="45">
        <v>140000</v>
      </c>
      <c r="E19" s="45">
        <f t="shared" si="0"/>
        <v>215000</v>
      </c>
      <c r="G19" s="52"/>
      <c r="H19" s="52"/>
      <c r="I19" s="52"/>
      <c r="J19" s="52"/>
      <c r="K19" s="52"/>
      <c r="L19" s="52"/>
    </row>
    <row r="20" spans="1:53" outlineLevel="1" x14ac:dyDescent="0.2">
      <c r="A20" s="56" t="s">
        <v>38</v>
      </c>
      <c r="B20" s="1" t="s">
        <v>35</v>
      </c>
      <c r="C20" s="45">
        <v>325000</v>
      </c>
      <c r="D20" s="45">
        <v>0</v>
      </c>
      <c r="E20" s="45">
        <f>SUM(C20:D20)</f>
        <v>325000</v>
      </c>
      <c r="J20" s="52"/>
      <c r="K20" s="52"/>
      <c r="L20" s="52"/>
    </row>
    <row r="21" spans="1:53" x14ac:dyDescent="0.2">
      <c r="A21" s="51" t="s">
        <v>92</v>
      </c>
      <c r="B21" s="1" t="s">
        <v>27</v>
      </c>
      <c r="C21" s="45">
        <v>0</v>
      </c>
      <c r="D21" s="45">
        <v>675000</v>
      </c>
      <c r="E21" s="45">
        <f t="shared" si="0"/>
        <v>675000</v>
      </c>
      <c r="L21" s="47"/>
      <c r="M21" s="47"/>
      <c r="N21" s="47"/>
      <c r="O21" s="47"/>
      <c r="P21" s="47"/>
      <c r="Q21" s="47"/>
    </row>
    <row r="22" spans="1:53" x14ac:dyDescent="0.2">
      <c r="A22" s="55" t="s">
        <v>40</v>
      </c>
      <c r="B22" s="1" t="s">
        <v>21</v>
      </c>
      <c r="C22" s="45">
        <v>0</v>
      </c>
      <c r="D22" s="46">
        <v>0</v>
      </c>
      <c r="E22" s="45">
        <f t="shared" si="0"/>
        <v>0</v>
      </c>
      <c r="H22" s="48"/>
      <c r="I22" s="48"/>
      <c r="J22" s="48"/>
      <c r="K22" s="48"/>
      <c r="L22" s="48"/>
      <c r="M22" s="48"/>
      <c r="N22" s="48"/>
      <c r="O22" s="48"/>
      <c r="P22" s="48"/>
      <c r="Q22" s="48"/>
    </row>
    <row r="23" spans="1:53" x14ac:dyDescent="0.2">
      <c r="A23" s="55" t="s">
        <v>42</v>
      </c>
      <c r="C23" s="45">
        <v>25000</v>
      </c>
      <c r="D23" s="46">
        <v>555000</v>
      </c>
      <c r="E23" s="45">
        <f t="shared" si="0"/>
        <v>580000</v>
      </c>
    </row>
    <row r="24" spans="1:53" x14ac:dyDescent="0.2">
      <c r="A24" s="51" t="s">
        <v>43</v>
      </c>
      <c r="B24" s="1" t="s">
        <v>35</v>
      </c>
      <c r="C24" s="45"/>
      <c r="D24" s="46"/>
      <c r="E24" s="45"/>
      <c r="I24" s="48"/>
      <c r="J24" s="48"/>
      <c r="K24" s="48"/>
    </row>
    <row r="25" spans="1:53" x14ac:dyDescent="0.2">
      <c r="A25" s="51" t="s">
        <v>44</v>
      </c>
      <c r="B25" s="1" t="s">
        <v>21</v>
      </c>
      <c r="C25" s="45"/>
      <c r="D25" s="46"/>
      <c r="E25" s="45"/>
      <c r="L25" s="47"/>
      <c r="M25" s="47"/>
      <c r="N25" s="47"/>
      <c r="O25" s="47"/>
      <c r="P25" s="47"/>
      <c r="Q25" s="47"/>
      <c r="R25" s="47"/>
      <c r="S25" s="47"/>
      <c r="T25" s="47"/>
    </row>
    <row r="26" spans="1:53" x14ac:dyDescent="0.2">
      <c r="A26" s="51" t="s">
        <v>45</v>
      </c>
      <c r="B26" s="1" t="s">
        <v>35</v>
      </c>
      <c r="C26" s="45"/>
      <c r="D26" s="46"/>
      <c r="E26" s="45"/>
      <c r="U26" s="47"/>
      <c r="V26" s="47"/>
      <c r="W26" s="47"/>
    </row>
    <row r="27" spans="1:53" x14ac:dyDescent="0.2">
      <c r="A27" s="53" t="s">
        <v>83</v>
      </c>
      <c r="B27" s="53" t="s">
        <v>84</v>
      </c>
      <c r="C27" s="54">
        <f>SUM(C11:C26)</f>
        <v>795000</v>
      </c>
      <c r="D27" s="54">
        <f>SUM(D11:D26)</f>
        <v>1620000</v>
      </c>
      <c r="E27" s="54">
        <f>SUM(E11:E26)</f>
        <v>2415000</v>
      </c>
    </row>
    <row r="28" spans="1:53" x14ac:dyDescent="0.2">
      <c r="A28" s="10" t="s">
        <v>58</v>
      </c>
      <c r="B28" s="5" t="s">
        <v>27</v>
      </c>
      <c r="C28" s="54"/>
      <c r="D28" s="54"/>
      <c r="E28" s="54"/>
      <c r="X28" s="47"/>
      <c r="Y28" s="47"/>
      <c r="Z28" s="47"/>
      <c r="AA28" s="47"/>
      <c r="AB28" s="47"/>
      <c r="AC28" s="47"/>
    </row>
    <row r="29" spans="1:53" x14ac:dyDescent="0.2">
      <c r="A29" s="10" t="s">
        <v>85</v>
      </c>
      <c r="B29" s="5" t="s">
        <v>46</v>
      </c>
      <c r="C29" s="54"/>
      <c r="D29" s="54"/>
      <c r="E29" s="54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</row>
    <row r="30" spans="1:53" ht="17" thickBot="1" x14ac:dyDescent="0.25">
      <c r="A30" s="10" t="s">
        <v>61</v>
      </c>
      <c r="B30" s="5" t="s">
        <v>27</v>
      </c>
      <c r="AV30" s="47"/>
      <c r="AW30" s="47"/>
      <c r="AX30" s="47"/>
      <c r="AY30" s="47"/>
      <c r="AZ30" s="47"/>
      <c r="BA30" s="47"/>
    </row>
    <row r="31" spans="1:53" x14ac:dyDescent="0.2">
      <c r="A31" s="14" t="s">
        <v>72</v>
      </c>
      <c r="B31" s="2"/>
      <c r="C31" s="2"/>
      <c r="D31" s="2"/>
      <c r="E31" s="1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</row>
    <row r="32" spans="1:53" x14ac:dyDescent="0.2">
      <c r="A32" s="4" t="s">
        <v>76</v>
      </c>
      <c r="B32" s="16">
        <v>44927</v>
      </c>
      <c r="C32" s="16"/>
      <c r="D32" s="16"/>
      <c r="E32" s="6"/>
      <c r="F32" s="1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8"/>
    </row>
    <row r="33" spans="1:23" x14ac:dyDescent="0.2">
      <c r="A33" s="4" t="s">
        <v>75</v>
      </c>
      <c r="B33" s="16">
        <v>45108</v>
      </c>
      <c r="C33" s="16"/>
      <c r="D33" s="16"/>
      <c r="E33" s="6"/>
      <c r="F33" s="5"/>
      <c r="G33" s="5"/>
      <c r="H33" s="5"/>
      <c r="I33" s="5"/>
      <c r="J33" s="5"/>
      <c r="K33" s="5"/>
      <c r="L33" s="17"/>
      <c r="M33" s="5"/>
      <c r="N33" s="5"/>
      <c r="O33" s="5"/>
      <c r="P33" s="5"/>
      <c r="Q33" s="5"/>
      <c r="R33" s="5"/>
      <c r="S33" s="5"/>
      <c r="T33" s="5"/>
      <c r="U33" s="5"/>
      <c r="V33" s="5"/>
      <c r="W33" s="8"/>
    </row>
    <row r="34" spans="1:23" x14ac:dyDescent="0.2">
      <c r="A34" s="4" t="s">
        <v>74</v>
      </c>
      <c r="B34" s="16">
        <v>45292</v>
      </c>
      <c r="C34" s="16"/>
      <c r="D34" s="16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7"/>
      <c r="S34" s="5"/>
      <c r="T34" s="5"/>
      <c r="U34" s="5"/>
      <c r="V34" s="5"/>
      <c r="W34" s="8"/>
    </row>
    <row r="35" spans="1:23" ht="17" thickBot="1" x14ac:dyDescent="0.25">
      <c r="A35" s="18" t="s">
        <v>73</v>
      </c>
      <c r="B35" s="19">
        <v>45474</v>
      </c>
      <c r="C35" s="19"/>
      <c r="D35" s="19"/>
      <c r="E35" s="20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21"/>
    </row>
  </sheetData>
  <mergeCells count="30">
    <mergeCell ref="A1:A3"/>
    <mergeCell ref="B1:B3"/>
    <mergeCell ref="C1:C3"/>
    <mergeCell ref="D1:D3"/>
    <mergeCell ref="E1:E3"/>
    <mergeCell ref="AG2:AI2"/>
    <mergeCell ref="AJ2:AL2"/>
    <mergeCell ref="AM2:AO2"/>
    <mergeCell ref="F2:H2"/>
    <mergeCell ref="I2:K2"/>
    <mergeCell ref="L2:N2"/>
    <mergeCell ref="O2:Q2"/>
    <mergeCell ref="R2:T2"/>
    <mergeCell ref="U2:W2"/>
    <mergeCell ref="BH2:BJ2"/>
    <mergeCell ref="BK2:BM2"/>
    <mergeCell ref="F1:K1"/>
    <mergeCell ref="L1:W1"/>
    <mergeCell ref="X1:AI1"/>
    <mergeCell ref="AJ1:AU1"/>
    <mergeCell ref="AV1:BG1"/>
    <mergeCell ref="AP2:AR2"/>
    <mergeCell ref="AS2:AU2"/>
    <mergeCell ref="AV2:AX2"/>
    <mergeCell ref="AY2:BA2"/>
    <mergeCell ref="BB2:BD2"/>
    <mergeCell ref="BE2:BG2"/>
    <mergeCell ref="X2:Z2"/>
    <mergeCell ref="AA2:AC2"/>
    <mergeCell ref="AD2:AF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91E2-AA78-C94A-98C4-172689408271}">
  <sheetPr>
    <tabColor rgb="FF92D050"/>
    <pageSetUpPr fitToPage="1"/>
  </sheetPr>
  <dimension ref="A1:BJ40"/>
  <sheetViews>
    <sheetView zoomScale="130" zoomScaleNormal="130" workbookViewId="0">
      <pane xSplit="2" ySplit="3" topLeftCell="C10" activePane="bottomRight" state="frozen"/>
      <selection activeCell="A38" sqref="A38:XFD40"/>
      <selection pane="topRight" activeCell="A38" sqref="A38:XFD40"/>
      <selection pane="bottomLeft" activeCell="A38" sqref="A38:XFD40"/>
      <selection pane="bottomRight" activeCell="A38" sqref="A38:XFD40"/>
    </sheetView>
  </sheetViews>
  <sheetFormatPr baseColWidth="10" defaultRowHeight="16" outlineLevelRow="1" x14ac:dyDescent="0.2"/>
  <cols>
    <col min="1" max="1" width="51" style="1" customWidth="1"/>
    <col min="2" max="2" width="12.1640625" style="1" customWidth="1"/>
    <col min="3" max="62" width="1.83203125" style="1" customWidth="1"/>
    <col min="63" max="16384" width="10.83203125" style="1"/>
  </cols>
  <sheetData>
    <row r="1" spans="1:62" x14ac:dyDescent="0.2">
      <c r="A1" s="69" t="s">
        <v>69</v>
      </c>
      <c r="B1" s="72" t="s">
        <v>1</v>
      </c>
      <c r="C1" s="66" t="s">
        <v>49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 t="s">
        <v>50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 t="s">
        <v>52</v>
      </c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 t="s">
        <v>56</v>
      </c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 t="s">
        <v>57</v>
      </c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7"/>
    </row>
    <row r="2" spans="1:62" x14ac:dyDescent="0.2">
      <c r="A2" s="70"/>
      <c r="B2" s="64"/>
      <c r="C2" s="63" t="s">
        <v>5</v>
      </c>
      <c r="D2" s="63"/>
      <c r="E2" s="63"/>
      <c r="F2" s="63" t="s">
        <v>6</v>
      </c>
      <c r="G2" s="63"/>
      <c r="H2" s="63"/>
      <c r="I2" s="63" t="s">
        <v>7</v>
      </c>
      <c r="J2" s="63"/>
      <c r="K2" s="63"/>
      <c r="L2" s="63" t="s">
        <v>8</v>
      </c>
      <c r="M2" s="63"/>
      <c r="N2" s="63"/>
      <c r="O2" s="63" t="s">
        <v>5</v>
      </c>
      <c r="P2" s="63"/>
      <c r="Q2" s="63"/>
      <c r="R2" s="63" t="s">
        <v>6</v>
      </c>
      <c r="S2" s="63"/>
      <c r="T2" s="63"/>
      <c r="U2" s="63" t="s">
        <v>7</v>
      </c>
      <c r="V2" s="63"/>
      <c r="W2" s="63"/>
      <c r="X2" s="63" t="s">
        <v>8</v>
      </c>
      <c r="Y2" s="63"/>
      <c r="Z2" s="63"/>
      <c r="AA2" s="63" t="s">
        <v>5</v>
      </c>
      <c r="AB2" s="63"/>
      <c r="AC2" s="63"/>
      <c r="AD2" s="63" t="s">
        <v>6</v>
      </c>
      <c r="AE2" s="63"/>
      <c r="AF2" s="63"/>
      <c r="AG2" s="63" t="s">
        <v>7</v>
      </c>
      <c r="AH2" s="63"/>
      <c r="AI2" s="63"/>
      <c r="AJ2" s="63" t="s">
        <v>8</v>
      </c>
      <c r="AK2" s="63"/>
      <c r="AL2" s="63"/>
      <c r="AM2" s="63" t="s">
        <v>5</v>
      </c>
      <c r="AN2" s="63"/>
      <c r="AO2" s="63"/>
      <c r="AP2" s="63" t="s">
        <v>6</v>
      </c>
      <c r="AQ2" s="63"/>
      <c r="AR2" s="63"/>
      <c r="AS2" s="63" t="s">
        <v>7</v>
      </c>
      <c r="AT2" s="63"/>
      <c r="AU2" s="63"/>
      <c r="AV2" s="63" t="s">
        <v>8</v>
      </c>
      <c r="AW2" s="63"/>
      <c r="AX2" s="63"/>
      <c r="AY2" s="63" t="s">
        <v>5</v>
      </c>
      <c r="AZ2" s="63"/>
      <c r="BA2" s="63"/>
      <c r="BB2" s="63" t="s">
        <v>6</v>
      </c>
      <c r="BC2" s="63"/>
      <c r="BD2" s="63"/>
      <c r="BE2" s="63" t="s">
        <v>7</v>
      </c>
      <c r="BF2" s="63"/>
      <c r="BG2" s="63"/>
      <c r="BH2" s="63" t="s">
        <v>8</v>
      </c>
      <c r="BI2" s="63"/>
      <c r="BJ2" s="68"/>
    </row>
    <row r="3" spans="1:62" ht="17" thickBot="1" x14ac:dyDescent="0.25">
      <c r="A3" s="71"/>
      <c r="B3" s="73"/>
      <c r="C3" s="40" t="s">
        <v>9</v>
      </c>
      <c r="D3" s="40" t="s">
        <v>10</v>
      </c>
      <c r="E3" s="40" t="s">
        <v>11</v>
      </c>
      <c r="F3" s="40" t="s">
        <v>12</v>
      </c>
      <c r="G3" s="40" t="s">
        <v>11</v>
      </c>
      <c r="H3" s="40" t="s">
        <v>9</v>
      </c>
      <c r="I3" s="40" t="s">
        <v>9</v>
      </c>
      <c r="J3" s="40" t="s">
        <v>12</v>
      </c>
      <c r="K3" s="40" t="s">
        <v>13</v>
      </c>
      <c r="L3" s="40" t="s">
        <v>14</v>
      </c>
      <c r="M3" s="40" t="s">
        <v>15</v>
      </c>
      <c r="N3" s="40" t="s">
        <v>16</v>
      </c>
      <c r="O3" s="40" t="s">
        <v>9</v>
      </c>
      <c r="P3" s="40" t="s">
        <v>10</v>
      </c>
      <c r="Q3" s="40" t="s">
        <v>11</v>
      </c>
      <c r="R3" s="40" t="s">
        <v>12</v>
      </c>
      <c r="S3" s="40" t="s">
        <v>11</v>
      </c>
      <c r="T3" s="40" t="s">
        <v>9</v>
      </c>
      <c r="U3" s="40" t="s">
        <v>9</v>
      </c>
      <c r="V3" s="40" t="s">
        <v>12</v>
      </c>
      <c r="W3" s="40" t="s">
        <v>13</v>
      </c>
      <c r="X3" s="40" t="s">
        <v>14</v>
      </c>
      <c r="Y3" s="40" t="s">
        <v>15</v>
      </c>
      <c r="Z3" s="40" t="s">
        <v>16</v>
      </c>
      <c r="AA3" s="40" t="s">
        <v>9</v>
      </c>
      <c r="AB3" s="40" t="s">
        <v>10</v>
      </c>
      <c r="AC3" s="40" t="s">
        <v>11</v>
      </c>
      <c r="AD3" s="40" t="s">
        <v>12</v>
      </c>
      <c r="AE3" s="40" t="s">
        <v>11</v>
      </c>
      <c r="AF3" s="40" t="s">
        <v>9</v>
      </c>
      <c r="AG3" s="40" t="s">
        <v>9</v>
      </c>
      <c r="AH3" s="40" t="s">
        <v>12</v>
      </c>
      <c r="AI3" s="40" t="s">
        <v>13</v>
      </c>
      <c r="AJ3" s="40" t="s">
        <v>14</v>
      </c>
      <c r="AK3" s="40" t="s">
        <v>15</v>
      </c>
      <c r="AL3" s="40" t="s">
        <v>16</v>
      </c>
      <c r="AM3" s="40" t="s">
        <v>9</v>
      </c>
      <c r="AN3" s="40" t="s">
        <v>10</v>
      </c>
      <c r="AO3" s="40" t="s">
        <v>11</v>
      </c>
      <c r="AP3" s="40" t="s">
        <v>12</v>
      </c>
      <c r="AQ3" s="40" t="s">
        <v>11</v>
      </c>
      <c r="AR3" s="40" t="s">
        <v>9</v>
      </c>
      <c r="AS3" s="40" t="s">
        <v>9</v>
      </c>
      <c r="AT3" s="40" t="s">
        <v>12</v>
      </c>
      <c r="AU3" s="40" t="s">
        <v>13</v>
      </c>
      <c r="AV3" s="40" t="s">
        <v>14</v>
      </c>
      <c r="AW3" s="40" t="s">
        <v>15</v>
      </c>
      <c r="AX3" s="40" t="s">
        <v>16</v>
      </c>
      <c r="AY3" s="40" t="s">
        <v>9</v>
      </c>
      <c r="AZ3" s="40" t="s">
        <v>10</v>
      </c>
      <c r="BA3" s="40" t="s">
        <v>11</v>
      </c>
      <c r="BB3" s="40" t="s">
        <v>12</v>
      </c>
      <c r="BC3" s="40" t="s">
        <v>11</v>
      </c>
      <c r="BD3" s="40" t="s">
        <v>9</v>
      </c>
      <c r="BE3" s="40" t="s">
        <v>9</v>
      </c>
      <c r="BF3" s="40" t="s">
        <v>12</v>
      </c>
      <c r="BG3" s="40" t="s">
        <v>13</v>
      </c>
      <c r="BH3" s="40" t="s">
        <v>14</v>
      </c>
      <c r="BI3" s="40" t="s">
        <v>15</v>
      </c>
      <c r="BJ3" s="41" t="s">
        <v>16</v>
      </c>
    </row>
    <row r="4" spans="1:62" x14ac:dyDescent="0.2">
      <c r="A4" s="28" t="s">
        <v>53</v>
      </c>
      <c r="B4" s="29" t="s">
        <v>46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3"/>
    </row>
    <row r="5" spans="1:62" x14ac:dyDescent="0.2">
      <c r="A5" s="25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8"/>
    </row>
    <row r="6" spans="1:62" x14ac:dyDescent="0.2">
      <c r="A6" s="10" t="s">
        <v>18</v>
      </c>
      <c r="B6" s="5" t="s">
        <v>19</v>
      </c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8"/>
    </row>
    <row r="7" spans="1:62" x14ac:dyDescent="0.2">
      <c r="A7" s="10" t="s">
        <v>62</v>
      </c>
      <c r="B7" s="5" t="s">
        <v>27</v>
      </c>
      <c r="C7" s="5"/>
      <c r="D7" s="5"/>
      <c r="E7" s="5"/>
      <c r="F7" s="7"/>
      <c r="G7" s="7"/>
      <c r="H7" s="7"/>
      <c r="I7" s="7"/>
      <c r="J7" s="7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8"/>
    </row>
    <row r="8" spans="1:62" x14ac:dyDescent="0.2">
      <c r="A8" s="10" t="s">
        <v>20</v>
      </c>
      <c r="B8" s="5" t="s">
        <v>21</v>
      </c>
      <c r="C8" s="5"/>
      <c r="D8" s="5"/>
      <c r="E8" s="5"/>
      <c r="F8" s="5"/>
      <c r="G8" s="5"/>
      <c r="H8" s="5"/>
      <c r="I8" s="7"/>
      <c r="J8" s="7"/>
      <c r="K8" s="7"/>
      <c r="L8" s="7"/>
      <c r="M8" s="7"/>
      <c r="N8" s="7"/>
      <c r="O8" s="7"/>
      <c r="P8" s="7"/>
      <c r="Q8" s="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8"/>
    </row>
    <row r="9" spans="1:62" x14ac:dyDescent="0.2">
      <c r="A9" s="25" t="s">
        <v>22</v>
      </c>
      <c r="B9" s="5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8"/>
    </row>
    <row r="10" spans="1:62" x14ac:dyDescent="0.2">
      <c r="A10" s="10" t="s">
        <v>23</v>
      </c>
      <c r="B10" s="5" t="s">
        <v>24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8"/>
    </row>
    <row r="11" spans="1:62" x14ac:dyDescent="0.2">
      <c r="A11" s="25" t="s">
        <v>25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8"/>
    </row>
    <row r="12" spans="1:62" x14ac:dyDescent="0.2">
      <c r="A12" s="10" t="s">
        <v>26</v>
      </c>
      <c r="B12" s="5" t="s">
        <v>27</v>
      </c>
      <c r="C12" s="7"/>
      <c r="D12" s="7"/>
      <c r="E12" s="7"/>
      <c r="F12" s="7"/>
      <c r="G12" s="7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8"/>
    </row>
    <row r="13" spans="1:62" outlineLevel="1" x14ac:dyDescent="0.2">
      <c r="A13" s="26" t="s">
        <v>28</v>
      </c>
      <c r="B13" s="5" t="s">
        <v>19</v>
      </c>
      <c r="C13" s="5"/>
      <c r="D13" s="1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8"/>
    </row>
    <row r="14" spans="1:62" outlineLevel="1" x14ac:dyDescent="0.2">
      <c r="A14" s="26" t="s">
        <v>29</v>
      </c>
      <c r="B14" s="5" t="s">
        <v>30</v>
      </c>
      <c r="C14" s="5"/>
      <c r="D14" s="11"/>
      <c r="E14" s="11"/>
      <c r="F14" s="5"/>
      <c r="G14" s="5"/>
      <c r="H14" s="11"/>
      <c r="I14" s="1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8"/>
    </row>
    <row r="15" spans="1:62" outlineLevel="1" x14ac:dyDescent="0.2">
      <c r="A15" s="26" t="s">
        <v>31</v>
      </c>
      <c r="B15" s="5" t="s">
        <v>32</v>
      </c>
      <c r="C15" s="5"/>
      <c r="D15" s="11"/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8"/>
    </row>
    <row r="16" spans="1:62" outlineLevel="1" x14ac:dyDescent="0.2">
      <c r="A16" s="26" t="s">
        <v>33</v>
      </c>
      <c r="B16" s="5" t="s">
        <v>32</v>
      </c>
      <c r="C16" s="5"/>
      <c r="D16" s="11"/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8"/>
    </row>
    <row r="17" spans="1:62" outlineLevel="1" x14ac:dyDescent="0.2">
      <c r="A17" s="26" t="s">
        <v>34</v>
      </c>
      <c r="B17" s="5" t="s">
        <v>35</v>
      </c>
      <c r="C17" s="5"/>
      <c r="D17" s="5"/>
      <c r="E17" s="5"/>
      <c r="F17" s="11"/>
      <c r="G17" s="11"/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outlineLevel="1" x14ac:dyDescent="0.2">
      <c r="A18" s="26" t="s">
        <v>36</v>
      </c>
      <c r="B18" s="5" t="s">
        <v>41</v>
      </c>
      <c r="C18" s="5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outlineLevel="1" x14ac:dyDescent="0.2">
      <c r="A19" s="26" t="s">
        <v>37</v>
      </c>
      <c r="B19" s="5" t="s">
        <v>19</v>
      </c>
      <c r="C19" s="5"/>
      <c r="D19" s="5"/>
      <c r="E19" s="5"/>
      <c r="F19" s="5"/>
      <c r="G19" s="5"/>
      <c r="H19" s="5"/>
      <c r="I19" s="1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outlineLevel="1" x14ac:dyDescent="0.2">
      <c r="A20" s="26" t="s">
        <v>38</v>
      </c>
      <c r="B20" s="5" t="s">
        <v>35</v>
      </c>
      <c r="C20" s="5"/>
      <c r="D20" s="5"/>
      <c r="E20" s="5"/>
      <c r="F20" s="5"/>
      <c r="G20" s="11"/>
      <c r="H20" s="11"/>
      <c r="I20" s="1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x14ac:dyDescent="0.2">
      <c r="A21" s="10" t="s">
        <v>39</v>
      </c>
      <c r="B21" s="5" t="s">
        <v>27</v>
      </c>
      <c r="C21" s="5"/>
      <c r="D21" s="5"/>
      <c r="E21" s="5"/>
      <c r="F21" s="5"/>
      <c r="G21" s="5"/>
      <c r="H21" s="5"/>
      <c r="I21" s="7"/>
      <c r="J21" s="7"/>
      <c r="K21" s="7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x14ac:dyDescent="0.2">
      <c r="A22" s="25" t="s">
        <v>40</v>
      </c>
      <c r="B22" s="5" t="s">
        <v>41</v>
      </c>
      <c r="C22" s="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x14ac:dyDescent="0.2">
      <c r="A23" s="25" t="s">
        <v>42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x14ac:dyDescent="0.2">
      <c r="A24" s="10" t="s">
        <v>43</v>
      </c>
      <c r="B24" s="5" t="s">
        <v>35</v>
      </c>
      <c r="C24" s="5"/>
      <c r="D24" s="5"/>
      <c r="E24" s="5"/>
      <c r="F24" s="7"/>
      <c r="G24" s="7"/>
      <c r="H24" s="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x14ac:dyDescent="0.2">
      <c r="A25" s="10" t="s">
        <v>44</v>
      </c>
      <c r="B25" s="5" t="s">
        <v>21</v>
      </c>
      <c r="C25" s="5"/>
      <c r="D25" s="5"/>
      <c r="E25" s="5"/>
      <c r="F25" s="5"/>
      <c r="G25" s="5"/>
      <c r="H25" s="5"/>
      <c r="I25" s="7"/>
      <c r="J25" s="7"/>
      <c r="K25" s="7"/>
      <c r="L25" s="7"/>
      <c r="M25" s="7"/>
      <c r="N25" s="7"/>
      <c r="O25" s="7"/>
      <c r="P25" s="7"/>
      <c r="Q25" s="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8"/>
    </row>
    <row r="26" spans="1:62" x14ac:dyDescent="0.2">
      <c r="A26" s="10" t="s">
        <v>45</v>
      </c>
      <c r="B26" s="5" t="s">
        <v>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7"/>
      <c r="S26" s="7"/>
      <c r="T26" s="7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8"/>
    </row>
    <row r="27" spans="1:62" x14ac:dyDescent="0.2">
      <c r="A27" s="36" t="s">
        <v>54</v>
      </c>
      <c r="B27" s="27" t="s">
        <v>55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5"/>
      <c r="BF27" s="5"/>
      <c r="BG27" s="5"/>
      <c r="BH27" s="5"/>
      <c r="BI27" s="5"/>
      <c r="BJ27" s="8"/>
    </row>
    <row r="28" spans="1:62" x14ac:dyDescent="0.2">
      <c r="A28" s="10" t="s">
        <v>58</v>
      </c>
      <c r="B28" s="5" t="s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8"/>
    </row>
    <row r="29" spans="1:62" x14ac:dyDescent="0.2">
      <c r="A29" s="10" t="s">
        <v>59</v>
      </c>
      <c r="B29" s="5" t="s">
        <v>24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8"/>
    </row>
    <row r="30" spans="1:62" x14ac:dyDescent="0.2">
      <c r="A30" s="10" t="s">
        <v>87</v>
      </c>
      <c r="B30" s="5" t="s">
        <v>60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8"/>
    </row>
    <row r="31" spans="1:62" x14ac:dyDescent="0.2">
      <c r="A31" s="10" t="s">
        <v>88</v>
      </c>
      <c r="B31" s="5" t="s">
        <v>24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8"/>
    </row>
    <row r="32" spans="1:62" ht="17" thickBot="1" x14ac:dyDescent="0.25">
      <c r="A32" s="10" t="s">
        <v>61</v>
      </c>
      <c r="B32" s="5" t="s">
        <v>27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7"/>
      <c r="AZ32" s="7"/>
      <c r="BA32" s="7"/>
      <c r="BB32" s="7"/>
      <c r="BC32" s="7"/>
      <c r="BD32" s="59"/>
      <c r="BE32" s="5"/>
      <c r="BF32" s="5"/>
      <c r="BG32" s="5"/>
      <c r="BH32" s="5"/>
      <c r="BI32" s="5"/>
      <c r="BJ32" s="8"/>
    </row>
    <row r="33" spans="1:62" x14ac:dyDescent="0.2">
      <c r="A33" s="14" t="s">
        <v>47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2"/>
      <c r="BE33" s="2"/>
      <c r="BF33" s="2"/>
      <c r="BG33" s="2"/>
      <c r="BH33" s="2"/>
      <c r="BI33" s="2"/>
      <c r="BJ33" s="3"/>
    </row>
    <row r="34" spans="1:62" x14ac:dyDescent="0.2">
      <c r="A34" s="4" t="s">
        <v>51</v>
      </c>
      <c r="B34" s="16" t="s">
        <v>63</v>
      </c>
      <c r="C34" s="3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23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23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23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23"/>
      <c r="BE34" s="5"/>
      <c r="BF34" s="5"/>
      <c r="BG34" s="5"/>
      <c r="BH34" s="5"/>
      <c r="BI34" s="5"/>
      <c r="BJ34" s="8"/>
    </row>
    <row r="35" spans="1:62" x14ac:dyDescent="0.2">
      <c r="A35" s="4" t="s">
        <v>48</v>
      </c>
      <c r="B35" s="16" t="s">
        <v>64</v>
      </c>
      <c r="C35" s="5"/>
      <c r="D35" s="5"/>
      <c r="E35" s="5"/>
      <c r="F35" s="5"/>
      <c r="G35" s="5"/>
      <c r="H35" s="5"/>
      <c r="I35" s="38"/>
      <c r="J35" s="5"/>
      <c r="K35" s="5"/>
      <c r="L35" s="5"/>
      <c r="M35" s="5"/>
      <c r="N35" s="5"/>
      <c r="O35" s="5"/>
      <c r="P35" s="5"/>
      <c r="Q35" s="5"/>
      <c r="R35" s="5"/>
      <c r="S35" s="5"/>
      <c r="T35" s="23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23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23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23"/>
      <c r="BE35" s="5"/>
      <c r="BF35" s="5"/>
      <c r="BG35" s="5"/>
      <c r="BH35" s="5"/>
      <c r="BI35" s="5"/>
      <c r="BJ35" s="8"/>
    </row>
    <row r="36" spans="1:62" x14ac:dyDescent="0.2">
      <c r="A36" s="4" t="s">
        <v>70</v>
      </c>
      <c r="B36" s="16" t="s">
        <v>65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38"/>
      <c r="P36" s="5"/>
      <c r="Q36" s="5"/>
      <c r="R36" s="5"/>
      <c r="S36" s="5"/>
      <c r="T36" s="23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23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23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23"/>
      <c r="BE36" s="5"/>
      <c r="BF36" s="5"/>
      <c r="BG36" s="5"/>
      <c r="BH36" s="5"/>
      <c r="BI36" s="5"/>
      <c r="BJ36" s="8"/>
    </row>
    <row r="37" spans="1:62" x14ac:dyDescent="0.2">
      <c r="A37" s="31" t="s">
        <v>79</v>
      </c>
      <c r="B37" s="32" t="s">
        <v>66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  <c r="P37" s="33"/>
      <c r="Q37" s="33"/>
      <c r="R37" s="33"/>
      <c r="S37" s="33"/>
      <c r="T37" s="39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4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4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4"/>
      <c r="BE37" s="33"/>
      <c r="BF37" s="33"/>
      <c r="BG37" s="33"/>
      <c r="BH37" s="33"/>
      <c r="BI37" s="33"/>
      <c r="BJ37" s="35"/>
    </row>
    <row r="38" spans="1:62" x14ac:dyDescent="0.2">
      <c r="A38" s="31" t="s">
        <v>68</v>
      </c>
      <c r="B38" s="32" t="s">
        <v>77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9"/>
      <c r="AA38" s="33"/>
      <c r="AB38" s="33"/>
      <c r="AC38" s="33"/>
      <c r="AD38" s="33"/>
      <c r="AE38" s="33"/>
      <c r="AF38" s="34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4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4"/>
      <c r="BE38" s="33"/>
      <c r="BF38" s="33"/>
      <c r="BG38" s="33"/>
      <c r="BH38" s="33"/>
      <c r="BI38" s="33"/>
      <c r="BJ38" s="35"/>
    </row>
    <row r="39" spans="1:62" x14ac:dyDescent="0.2">
      <c r="A39" s="31" t="s">
        <v>67</v>
      </c>
      <c r="B39" s="32" t="s">
        <v>78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4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4"/>
      <c r="AS39" s="33"/>
      <c r="AT39" s="33"/>
      <c r="AU39" s="33"/>
      <c r="AV39" s="33"/>
      <c r="AW39" s="33"/>
      <c r="AX39" s="39"/>
      <c r="AY39" s="33"/>
      <c r="AZ39" s="33"/>
      <c r="BA39" s="33"/>
      <c r="BB39" s="33"/>
      <c r="BC39" s="33"/>
      <c r="BD39" s="34"/>
      <c r="BE39" s="33"/>
      <c r="BF39" s="33"/>
      <c r="BG39" s="33"/>
      <c r="BH39" s="33"/>
      <c r="BI39" s="33"/>
      <c r="BJ39" s="35"/>
    </row>
    <row r="40" spans="1:62" ht="17" thickBot="1" x14ac:dyDescent="0.25">
      <c r="A40" s="18" t="s">
        <v>71</v>
      </c>
      <c r="B40" s="19" t="s">
        <v>86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24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24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24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57"/>
      <c r="BE40" s="12"/>
      <c r="BF40" s="12"/>
      <c r="BG40" s="12"/>
      <c r="BH40" s="12"/>
      <c r="BI40" s="12"/>
      <c r="BJ40" s="58"/>
    </row>
  </sheetData>
  <mergeCells count="27">
    <mergeCell ref="A1:A3"/>
    <mergeCell ref="B1:B3"/>
    <mergeCell ref="C1:N1"/>
    <mergeCell ref="C2:E2"/>
    <mergeCell ref="F2:H2"/>
    <mergeCell ref="I2:K2"/>
    <mergeCell ref="L2:N2"/>
    <mergeCell ref="O2:Q2"/>
    <mergeCell ref="U2:W2"/>
    <mergeCell ref="X2:Z2"/>
    <mergeCell ref="O1:Z1"/>
    <mergeCell ref="AA1:AL1"/>
    <mergeCell ref="AA2:AC2"/>
    <mergeCell ref="AD2:AF2"/>
    <mergeCell ref="AG2:AI2"/>
    <mergeCell ref="AJ2:AL2"/>
    <mergeCell ref="R2:T2"/>
    <mergeCell ref="AY1:BJ1"/>
    <mergeCell ref="AY2:BA2"/>
    <mergeCell ref="BB2:BD2"/>
    <mergeCell ref="BE2:BG2"/>
    <mergeCell ref="BH2:BJ2"/>
    <mergeCell ref="AM1:AX1"/>
    <mergeCell ref="AM2:AO2"/>
    <mergeCell ref="AP2:AR2"/>
    <mergeCell ref="AS2:AU2"/>
    <mergeCell ref="AV2:AX2"/>
  </mergeCells>
  <phoneticPr fontId="5" type="noConversion"/>
  <pageMargins left="0.7" right="0.7" top="0.75" bottom="0.75" header="0.3" footer="0.3"/>
  <pageSetup paperSize="9" scale="7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4C97-CBB9-504A-B3E2-F787BDC10A61}">
  <sheetPr>
    <tabColor rgb="FF92D050"/>
  </sheetPr>
  <dimension ref="A1:BJ31"/>
  <sheetViews>
    <sheetView zoomScale="130" zoomScaleNormal="130" workbookViewId="0">
      <selection activeCell="AU34" sqref="AU34"/>
    </sheetView>
  </sheetViews>
  <sheetFormatPr baseColWidth="10" defaultRowHeight="16" outlineLevelRow="1" x14ac:dyDescent="0.2"/>
  <cols>
    <col min="1" max="1" width="49" style="1" bestFit="1" customWidth="1"/>
    <col min="2" max="2" width="9.5" style="1" bestFit="1" customWidth="1"/>
    <col min="3" max="95" width="2.83203125" style="1" customWidth="1"/>
    <col min="96" max="16384" width="10.83203125" style="1"/>
  </cols>
  <sheetData>
    <row r="1" spans="1:62" x14ac:dyDescent="0.2">
      <c r="A1" s="64" t="s">
        <v>0</v>
      </c>
      <c r="B1" s="64" t="s">
        <v>1</v>
      </c>
      <c r="C1" s="63" t="s">
        <v>49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 t="s">
        <v>50</v>
      </c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 t="s">
        <v>52</v>
      </c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 t="s">
        <v>56</v>
      </c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 t="s">
        <v>57</v>
      </c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</row>
    <row r="2" spans="1:62" x14ac:dyDescent="0.2">
      <c r="A2" s="64"/>
      <c r="B2" s="64"/>
      <c r="C2" s="63" t="s">
        <v>5</v>
      </c>
      <c r="D2" s="63"/>
      <c r="E2" s="63"/>
      <c r="F2" s="63" t="s">
        <v>6</v>
      </c>
      <c r="G2" s="63"/>
      <c r="H2" s="63"/>
      <c r="I2" s="63" t="s">
        <v>7</v>
      </c>
      <c r="J2" s="63"/>
      <c r="K2" s="63"/>
      <c r="L2" s="63" t="s">
        <v>8</v>
      </c>
      <c r="M2" s="63"/>
      <c r="N2" s="63"/>
      <c r="O2" s="63" t="s">
        <v>5</v>
      </c>
      <c r="P2" s="63"/>
      <c r="Q2" s="63"/>
      <c r="R2" s="63" t="s">
        <v>6</v>
      </c>
      <c r="S2" s="63"/>
      <c r="T2" s="63"/>
      <c r="U2" s="63" t="s">
        <v>7</v>
      </c>
      <c r="V2" s="63"/>
      <c r="W2" s="63"/>
      <c r="X2" s="63" t="s">
        <v>8</v>
      </c>
      <c r="Y2" s="63"/>
      <c r="Z2" s="63"/>
      <c r="AA2" s="63" t="s">
        <v>5</v>
      </c>
      <c r="AB2" s="63"/>
      <c r="AC2" s="63"/>
      <c r="AD2" s="63" t="s">
        <v>6</v>
      </c>
      <c r="AE2" s="63"/>
      <c r="AF2" s="63"/>
      <c r="AG2" s="63" t="s">
        <v>7</v>
      </c>
      <c r="AH2" s="63"/>
      <c r="AI2" s="63"/>
      <c r="AJ2" s="63" t="s">
        <v>8</v>
      </c>
      <c r="AK2" s="63"/>
      <c r="AL2" s="63"/>
      <c r="AM2" s="63" t="s">
        <v>5</v>
      </c>
      <c r="AN2" s="63"/>
      <c r="AO2" s="63"/>
      <c r="AP2" s="63" t="s">
        <v>6</v>
      </c>
      <c r="AQ2" s="63"/>
      <c r="AR2" s="63"/>
      <c r="AS2" s="63" t="s">
        <v>7</v>
      </c>
      <c r="AT2" s="63"/>
      <c r="AU2" s="63"/>
      <c r="AV2" s="63" t="s">
        <v>8</v>
      </c>
      <c r="AW2" s="63"/>
      <c r="AX2" s="63"/>
      <c r="AY2" s="63" t="s">
        <v>5</v>
      </c>
      <c r="AZ2" s="63"/>
      <c r="BA2" s="63"/>
      <c r="BB2" s="63" t="s">
        <v>6</v>
      </c>
      <c r="BC2" s="63"/>
      <c r="BD2" s="63"/>
      <c r="BE2" s="63" t="s">
        <v>7</v>
      </c>
      <c r="BF2" s="63"/>
      <c r="BG2" s="63"/>
      <c r="BH2" s="63" t="s">
        <v>8</v>
      </c>
      <c r="BI2" s="63"/>
      <c r="BJ2" s="63"/>
    </row>
    <row r="3" spans="1:62" x14ac:dyDescent="0.2">
      <c r="A3" s="64"/>
      <c r="B3" s="64"/>
      <c r="C3" s="43" t="s">
        <v>9</v>
      </c>
      <c r="D3" s="43" t="s">
        <v>10</v>
      </c>
      <c r="E3" s="43" t="s">
        <v>11</v>
      </c>
      <c r="F3" s="43" t="s">
        <v>12</v>
      </c>
      <c r="G3" s="43" t="s">
        <v>11</v>
      </c>
      <c r="H3" s="43" t="s">
        <v>9</v>
      </c>
      <c r="I3" s="43" t="s">
        <v>9</v>
      </c>
      <c r="J3" s="43" t="s">
        <v>12</v>
      </c>
      <c r="K3" s="43" t="s">
        <v>13</v>
      </c>
      <c r="L3" s="43" t="s">
        <v>14</v>
      </c>
      <c r="M3" s="43" t="s">
        <v>15</v>
      </c>
      <c r="N3" s="43" t="s">
        <v>16</v>
      </c>
      <c r="O3" s="43" t="s">
        <v>9</v>
      </c>
      <c r="P3" s="43" t="s">
        <v>10</v>
      </c>
      <c r="Q3" s="43" t="s">
        <v>11</v>
      </c>
      <c r="R3" s="43" t="s">
        <v>12</v>
      </c>
      <c r="S3" s="43" t="s">
        <v>11</v>
      </c>
      <c r="T3" s="43" t="s">
        <v>9</v>
      </c>
      <c r="U3" s="43" t="s">
        <v>9</v>
      </c>
      <c r="V3" s="43" t="s">
        <v>12</v>
      </c>
      <c r="W3" s="43" t="s">
        <v>13</v>
      </c>
      <c r="X3" s="43" t="s">
        <v>14</v>
      </c>
      <c r="Y3" s="43" t="s">
        <v>15</v>
      </c>
      <c r="Z3" s="43" t="s">
        <v>16</v>
      </c>
      <c r="AA3" s="43" t="s">
        <v>9</v>
      </c>
      <c r="AB3" s="43" t="s">
        <v>10</v>
      </c>
      <c r="AC3" s="43" t="s">
        <v>11</v>
      </c>
      <c r="AD3" s="43" t="s">
        <v>12</v>
      </c>
      <c r="AE3" s="43" t="s">
        <v>11</v>
      </c>
      <c r="AF3" s="43" t="s">
        <v>9</v>
      </c>
      <c r="AG3" s="43" t="s">
        <v>9</v>
      </c>
      <c r="AH3" s="43" t="s">
        <v>12</v>
      </c>
      <c r="AI3" s="43" t="s">
        <v>13</v>
      </c>
      <c r="AJ3" s="43" t="s">
        <v>14</v>
      </c>
      <c r="AK3" s="43" t="s">
        <v>15</v>
      </c>
      <c r="AL3" s="43" t="s">
        <v>16</v>
      </c>
      <c r="AM3" s="43" t="s">
        <v>9</v>
      </c>
      <c r="AN3" s="43" t="s">
        <v>10</v>
      </c>
      <c r="AO3" s="43" t="s">
        <v>11</v>
      </c>
      <c r="AP3" s="43" t="s">
        <v>12</v>
      </c>
      <c r="AQ3" s="43" t="s">
        <v>11</v>
      </c>
      <c r="AR3" s="43" t="s">
        <v>9</v>
      </c>
      <c r="AS3" s="43" t="s">
        <v>9</v>
      </c>
      <c r="AT3" s="43" t="s">
        <v>12</v>
      </c>
      <c r="AU3" s="43" t="s">
        <v>13</v>
      </c>
      <c r="AV3" s="43" t="s">
        <v>14</v>
      </c>
      <c r="AW3" s="43" t="s">
        <v>15</v>
      </c>
      <c r="AX3" s="43" t="s">
        <v>16</v>
      </c>
      <c r="AY3" s="43" t="s">
        <v>9</v>
      </c>
      <c r="AZ3" s="43" t="s">
        <v>10</v>
      </c>
      <c r="BA3" s="43" t="s">
        <v>11</v>
      </c>
      <c r="BB3" s="43" t="s">
        <v>12</v>
      </c>
      <c r="BC3" s="43" t="s">
        <v>11</v>
      </c>
      <c r="BD3" s="43" t="s">
        <v>9</v>
      </c>
      <c r="BE3" s="43" t="s">
        <v>9</v>
      </c>
      <c r="BF3" s="43" t="s">
        <v>12</v>
      </c>
      <c r="BG3" s="43" t="s">
        <v>13</v>
      </c>
      <c r="BH3" s="43" t="s">
        <v>14</v>
      </c>
      <c r="BI3" s="43" t="s">
        <v>15</v>
      </c>
      <c r="BJ3" s="43" t="s">
        <v>16</v>
      </c>
    </row>
    <row r="4" spans="1:62" x14ac:dyDescent="0.2">
      <c r="A4" s="42" t="s">
        <v>82</v>
      </c>
      <c r="B4" s="42" t="s">
        <v>46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62" x14ac:dyDescent="0.2">
      <c r="A5" s="55" t="s">
        <v>17</v>
      </c>
    </row>
    <row r="6" spans="1:62" x14ac:dyDescent="0.2">
      <c r="A6" s="51" t="s">
        <v>18</v>
      </c>
      <c r="B6" s="1" t="s">
        <v>19</v>
      </c>
      <c r="C6" s="47"/>
    </row>
    <row r="7" spans="1:62" x14ac:dyDescent="0.2">
      <c r="A7" s="51" t="s">
        <v>90</v>
      </c>
      <c r="B7" s="1" t="s">
        <v>24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</row>
    <row r="8" spans="1:62" x14ac:dyDescent="0.2">
      <c r="A8" s="51" t="s">
        <v>89</v>
      </c>
      <c r="B8" s="1" t="s">
        <v>35</v>
      </c>
      <c r="N8" s="49"/>
      <c r="O8" s="47"/>
      <c r="P8" s="47"/>
      <c r="Q8" s="47"/>
    </row>
    <row r="9" spans="1:62" x14ac:dyDescent="0.2">
      <c r="A9" s="55" t="s">
        <v>22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</row>
    <row r="10" spans="1:62" x14ac:dyDescent="0.2">
      <c r="A10" s="51" t="s">
        <v>81</v>
      </c>
      <c r="C10" s="48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</row>
    <row r="11" spans="1:62" x14ac:dyDescent="0.2">
      <c r="A11" s="51" t="s">
        <v>23</v>
      </c>
      <c r="B11" s="1" t="s">
        <v>24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62" x14ac:dyDescent="0.2">
      <c r="A12" s="55" t="s">
        <v>25</v>
      </c>
    </row>
    <row r="13" spans="1:62" x14ac:dyDescent="0.2">
      <c r="A13" s="51" t="s">
        <v>26</v>
      </c>
      <c r="B13" s="1" t="s">
        <v>27</v>
      </c>
      <c r="C13" s="47"/>
      <c r="D13" s="47"/>
      <c r="E13" s="47"/>
      <c r="F13" s="47"/>
      <c r="G13" s="47"/>
      <c r="H13" s="47"/>
    </row>
    <row r="14" spans="1:62" hidden="1" outlineLevel="1" x14ac:dyDescent="0.2">
      <c r="A14" s="56" t="s">
        <v>28</v>
      </c>
      <c r="B14" s="1" t="s">
        <v>19</v>
      </c>
      <c r="D14" s="52"/>
    </row>
    <row r="15" spans="1:62" hidden="1" outlineLevel="1" x14ac:dyDescent="0.2">
      <c r="A15" s="56" t="s">
        <v>29</v>
      </c>
      <c r="B15" s="1" t="s">
        <v>30</v>
      </c>
      <c r="D15" s="52"/>
      <c r="E15" s="52"/>
      <c r="I15" s="52"/>
      <c r="J15" s="52"/>
    </row>
    <row r="16" spans="1:62" hidden="1" outlineLevel="1" x14ac:dyDescent="0.2">
      <c r="A16" s="56" t="s">
        <v>31</v>
      </c>
      <c r="B16" s="1" t="s">
        <v>32</v>
      </c>
      <c r="D16" s="52"/>
      <c r="E16" s="52"/>
    </row>
    <row r="17" spans="1:50" hidden="1" outlineLevel="1" x14ac:dyDescent="0.2">
      <c r="A17" s="56" t="s">
        <v>33</v>
      </c>
      <c r="B17" s="1" t="s">
        <v>32</v>
      </c>
      <c r="D17" s="52"/>
      <c r="E17" s="52"/>
    </row>
    <row r="18" spans="1:50" hidden="1" outlineLevel="1" x14ac:dyDescent="0.2">
      <c r="A18" s="56" t="s">
        <v>34</v>
      </c>
      <c r="B18" s="1" t="s">
        <v>35</v>
      </c>
      <c r="F18" s="52"/>
      <c r="G18" s="52"/>
      <c r="H18" s="52"/>
    </row>
    <row r="19" spans="1:50" hidden="1" outlineLevel="1" x14ac:dyDescent="0.2">
      <c r="A19" s="56" t="s">
        <v>36</v>
      </c>
      <c r="B19" s="1" t="s">
        <v>27</v>
      </c>
      <c r="D19" s="52"/>
      <c r="E19" s="52"/>
      <c r="F19" s="52"/>
      <c r="G19" s="52"/>
      <c r="H19" s="52"/>
      <c r="I19" s="52"/>
    </row>
    <row r="20" spans="1:50" hidden="1" outlineLevel="1" x14ac:dyDescent="0.2">
      <c r="A20" s="56" t="s">
        <v>38</v>
      </c>
      <c r="B20" s="1" t="s">
        <v>35</v>
      </c>
      <c r="F20" s="52"/>
      <c r="G20" s="52"/>
      <c r="H20" s="52"/>
    </row>
    <row r="21" spans="1:50" collapsed="1" x14ac:dyDescent="0.2">
      <c r="A21" s="51" t="s">
        <v>39</v>
      </c>
      <c r="B21" s="1" t="s">
        <v>27</v>
      </c>
      <c r="I21" s="47"/>
      <c r="J21" s="47"/>
      <c r="K21" s="47"/>
      <c r="L21" s="47"/>
      <c r="M21" s="47"/>
      <c r="N21" s="47"/>
    </row>
    <row r="22" spans="1:50" x14ac:dyDescent="0.2">
      <c r="A22" s="55" t="s">
        <v>40</v>
      </c>
      <c r="B22" s="1" t="s">
        <v>21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</row>
    <row r="23" spans="1:50" x14ac:dyDescent="0.2">
      <c r="A23" s="55" t="s">
        <v>42</v>
      </c>
    </row>
    <row r="24" spans="1:50" x14ac:dyDescent="0.2">
      <c r="A24" s="51" t="s">
        <v>43</v>
      </c>
      <c r="B24" s="1" t="s">
        <v>35</v>
      </c>
      <c r="F24" s="48"/>
      <c r="G24" s="48"/>
      <c r="H24" s="48"/>
    </row>
    <row r="25" spans="1:50" x14ac:dyDescent="0.2">
      <c r="A25" s="51" t="s">
        <v>44</v>
      </c>
      <c r="B25" s="1" t="s">
        <v>21</v>
      </c>
      <c r="I25" s="47"/>
      <c r="J25" s="47"/>
      <c r="K25" s="47"/>
      <c r="L25" s="47"/>
      <c r="M25" s="47"/>
      <c r="N25" s="47"/>
      <c r="O25" s="47"/>
      <c r="P25" s="47"/>
      <c r="Q25" s="47"/>
    </row>
    <row r="26" spans="1:50" x14ac:dyDescent="0.2">
      <c r="A26" s="51" t="s">
        <v>45</v>
      </c>
      <c r="B26" s="1" t="s">
        <v>35</v>
      </c>
      <c r="R26" s="47"/>
      <c r="S26" s="47"/>
      <c r="T26" s="47"/>
    </row>
    <row r="27" spans="1:50" x14ac:dyDescent="0.2">
      <c r="A27" s="53" t="s">
        <v>83</v>
      </c>
      <c r="B27" s="53" t="s">
        <v>84</v>
      </c>
    </row>
    <row r="28" spans="1:50" x14ac:dyDescent="0.2">
      <c r="A28" s="10" t="s">
        <v>58</v>
      </c>
      <c r="B28" s="5" t="s">
        <v>27</v>
      </c>
      <c r="U28" s="47"/>
      <c r="V28" s="47"/>
      <c r="W28" s="47"/>
      <c r="X28" s="47"/>
      <c r="Y28" s="47"/>
      <c r="Z28" s="47"/>
    </row>
    <row r="29" spans="1:50" x14ac:dyDescent="0.2">
      <c r="A29" s="60" t="s">
        <v>85</v>
      </c>
      <c r="B29" s="33" t="s">
        <v>46</v>
      </c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</row>
    <row r="30" spans="1:50" x14ac:dyDescent="0.2">
      <c r="A30" s="51" t="s">
        <v>61</v>
      </c>
      <c r="B30" s="1" t="s">
        <v>27</v>
      </c>
      <c r="AS30" s="47"/>
      <c r="AT30" s="47"/>
      <c r="AU30" s="47"/>
      <c r="AV30" s="47"/>
      <c r="AW30" s="47"/>
      <c r="AX30" s="47"/>
    </row>
    <row r="31" spans="1:50" x14ac:dyDescent="0.2">
      <c r="A31" s="51"/>
    </row>
  </sheetData>
  <mergeCells count="27">
    <mergeCell ref="AY1:BJ1"/>
    <mergeCell ref="AY2:BA2"/>
    <mergeCell ref="BB2:BD2"/>
    <mergeCell ref="BE2:BG2"/>
    <mergeCell ref="BH2:BJ2"/>
    <mergeCell ref="AM1:AX1"/>
    <mergeCell ref="AA2:AC2"/>
    <mergeCell ref="AD2:AF2"/>
    <mergeCell ref="AG2:AI2"/>
    <mergeCell ref="AJ2:AL2"/>
    <mergeCell ref="AM2:AO2"/>
    <mergeCell ref="AP2:AR2"/>
    <mergeCell ref="AS2:AU2"/>
    <mergeCell ref="AV2:AX2"/>
    <mergeCell ref="O2:Q2"/>
    <mergeCell ref="U2:W2"/>
    <mergeCell ref="X2:Z2"/>
    <mergeCell ref="O1:Z1"/>
    <mergeCell ref="AA1:AL1"/>
    <mergeCell ref="R2:T2"/>
    <mergeCell ref="C1:N1"/>
    <mergeCell ref="A1:A3"/>
    <mergeCell ref="B1:B3"/>
    <mergeCell ref="C2:E2"/>
    <mergeCell ref="F2:H2"/>
    <mergeCell ref="I2:K2"/>
    <mergeCell ref="L2:N2"/>
  </mergeCells>
  <phoneticPr fontId="5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4D4E-99A8-994C-9441-8FBAD5341E20}">
  <sheetPr>
    <tabColor rgb="FF92D050"/>
  </sheetPr>
  <dimension ref="A1:T24"/>
  <sheetViews>
    <sheetView tabSelected="1" zoomScale="130" zoomScaleNormal="130" workbookViewId="0">
      <selection sqref="A1:T24"/>
    </sheetView>
  </sheetViews>
  <sheetFormatPr baseColWidth="10" defaultRowHeight="16" outlineLevelRow="1" x14ac:dyDescent="0.2"/>
  <cols>
    <col min="1" max="1" width="49" style="1" bestFit="1" customWidth="1"/>
    <col min="2" max="2" width="11.83203125" style="1" bestFit="1" customWidth="1"/>
    <col min="3" max="47" width="2.83203125" style="1" customWidth="1"/>
    <col min="48" max="16384" width="10.83203125" style="1"/>
  </cols>
  <sheetData>
    <row r="1" spans="1:20" x14ac:dyDescent="0.2">
      <c r="A1" s="64"/>
      <c r="B1" s="64"/>
      <c r="C1" s="63" t="s">
        <v>49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 t="s">
        <v>50</v>
      </c>
      <c r="P1" s="63"/>
      <c r="Q1" s="63"/>
      <c r="R1" s="63"/>
      <c r="S1" s="63"/>
      <c r="T1" s="63"/>
    </row>
    <row r="2" spans="1:20" x14ac:dyDescent="0.2">
      <c r="A2" s="64"/>
      <c r="B2" s="64"/>
      <c r="C2" s="63" t="s">
        <v>5</v>
      </c>
      <c r="D2" s="63"/>
      <c r="E2" s="63"/>
      <c r="F2" s="63" t="s">
        <v>6</v>
      </c>
      <c r="G2" s="63"/>
      <c r="H2" s="63"/>
      <c r="I2" s="63" t="s">
        <v>7</v>
      </c>
      <c r="J2" s="63"/>
      <c r="K2" s="63"/>
      <c r="L2" s="63" t="s">
        <v>8</v>
      </c>
      <c r="M2" s="63"/>
      <c r="N2" s="63"/>
      <c r="O2" s="63" t="s">
        <v>5</v>
      </c>
      <c r="P2" s="63"/>
      <c r="Q2" s="63"/>
      <c r="R2" s="63" t="s">
        <v>6</v>
      </c>
      <c r="S2" s="63"/>
      <c r="T2" s="63"/>
    </row>
    <row r="3" spans="1:20" x14ac:dyDescent="0.2">
      <c r="A3" s="42" t="s">
        <v>95</v>
      </c>
      <c r="B3" s="4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x14ac:dyDescent="0.2">
      <c r="A4" s="61" t="s">
        <v>94</v>
      </c>
      <c r="B4" s="1" t="s">
        <v>24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20" x14ac:dyDescent="0.2">
      <c r="A5" s="61" t="s">
        <v>89</v>
      </c>
      <c r="B5" s="1" t="s">
        <v>35</v>
      </c>
      <c r="N5" s="49"/>
      <c r="O5" s="47"/>
      <c r="P5" s="47"/>
      <c r="Q5" s="47"/>
    </row>
    <row r="6" spans="1:20" x14ac:dyDescent="0.2">
      <c r="A6" s="61" t="s">
        <v>23</v>
      </c>
      <c r="B6" s="1" t="s">
        <v>27</v>
      </c>
      <c r="C6" s="48"/>
      <c r="D6" s="48"/>
      <c r="E6" s="48"/>
      <c r="F6" s="48"/>
      <c r="G6" s="48"/>
      <c r="H6" s="48"/>
      <c r="I6" s="49"/>
      <c r="J6" s="49"/>
      <c r="K6" s="49"/>
      <c r="L6" s="49"/>
      <c r="M6" s="49"/>
      <c r="N6" s="49"/>
    </row>
    <row r="7" spans="1:20" x14ac:dyDescent="0.2">
      <c r="A7" s="61" t="s">
        <v>26</v>
      </c>
      <c r="B7" s="1" t="s">
        <v>27</v>
      </c>
      <c r="C7" s="47"/>
      <c r="D7" s="47"/>
      <c r="E7" s="47"/>
      <c r="F7" s="47"/>
      <c r="G7" s="47"/>
      <c r="H7" s="47"/>
    </row>
    <row r="8" spans="1:20" x14ac:dyDescent="0.2">
      <c r="A8" s="61" t="s">
        <v>112</v>
      </c>
      <c r="B8" s="1" t="s">
        <v>27</v>
      </c>
      <c r="I8" s="47"/>
      <c r="J8" s="47"/>
      <c r="K8" s="47"/>
      <c r="L8" s="47"/>
      <c r="M8" s="47"/>
      <c r="N8" s="47"/>
    </row>
    <row r="9" spans="1:20" x14ac:dyDescent="0.2">
      <c r="A9" s="61" t="s">
        <v>93</v>
      </c>
      <c r="B9" s="1" t="s">
        <v>21</v>
      </c>
      <c r="E9" s="48"/>
      <c r="F9" s="48"/>
      <c r="G9" s="48"/>
      <c r="H9" s="48"/>
      <c r="I9" s="47"/>
      <c r="J9" s="47"/>
      <c r="K9" s="47"/>
      <c r="L9" s="47"/>
      <c r="M9" s="47"/>
      <c r="N9" s="47"/>
    </row>
    <row r="10" spans="1:20" x14ac:dyDescent="0.2">
      <c r="A10" s="61" t="s">
        <v>43</v>
      </c>
      <c r="B10" s="1" t="s">
        <v>35</v>
      </c>
      <c r="F10" s="48"/>
      <c r="G10" s="48"/>
      <c r="H10" s="48"/>
    </row>
    <row r="11" spans="1:20" x14ac:dyDescent="0.2">
      <c r="A11" s="61" t="s">
        <v>44</v>
      </c>
      <c r="B11" s="1" t="s">
        <v>21</v>
      </c>
      <c r="I11" s="47"/>
      <c r="J11" s="47"/>
      <c r="K11" s="47"/>
      <c r="L11" s="47"/>
      <c r="M11" s="47"/>
      <c r="N11" s="47"/>
      <c r="O11" s="47"/>
      <c r="P11" s="47"/>
      <c r="Q11" s="47"/>
    </row>
    <row r="12" spans="1:20" x14ac:dyDescent="0.2">
      <c r="A12" s="61" t="s">
        <v>45</v>
      </c>
      <c r="B12" s="1" t="s">
        <v>35</v>
      </c>
      <c r="R12" s="47"/>
      <c r="S12" s="47"/>
      <c r="T12" s="47"/>
    </row>
    <row r="13" spans="1:20" hidden="1" outlineLevel="1" x14ac:dyDescent="0.2">
      <c r="A13" s="62" t="s">
        <v>109</v>
      </c>
      <c r="B13" s="53" t="s">
        <v>96</v>
      </c>
      <c r="C13" s="63" t="s">
        <v>110</v>
      </c>
      <c r="D13" s="63"/>
      <c r="E13" s="63"/>
      <c r="F13" s="63" t="s">
        <v>110</v>
      </c>
      <c r="G13" s="63"/>
      <c r="H13" s="63"/>
      <c r="I13" s="63" t="s">
        <v>110</v>
      </c>
      <c r="J13" s="63"/>
      <c r="K13" s="63"/>
      <c r="L13" s="63" t="s">
        <v>110</v>
      </c>
      <c r="M13" s="63"/>
      <c r="N13" s="63"/>
      <c r="O13" s="63" t="s">
        <v>110</v>
      </c>
      <c r="P13" s="63"/>
      <c r="Q13" s="63"/>
      <c r="R13" s="63" t="s">
        <v>110</v>
      </c>
      <c r="S13" s="63"/>
      <c r="T13" s="63"/>
    </row>
    <row r="14" spans="1:20" hidden="1" outlineLevel="1" x14ac:dyDescent="0.2">
      <c r="A14" s="61" t="s">
        <v>97</v>
      </c>
      <c r="B14" s="1" t="s">
        <v>98</v>
      </c>
      <c r="C14" s="74">
        <v>0.5</v>
      </c>
      <c r="D14" s="74"/>
      <c r="E14" s="74"/>
      <c r="F14" s="74">
        <v>0.5</v>
      </c>
      <c r="G14" s="74"/>
      <c r="H14" s="74"/>
      <c r="I14" s="74">
        <v>1</v>
      </c>
      <c r="J14" s="74"/>
      <c r="K14" s="74"/>
      <c r="L14" s="74">
        <v>1</v>
      </c>
      <c r="M14" s="74"/>
      <c r="N14" s="74"/>
      <c r="O14" s="74">
        <v>1</v>
      </c>
      <c r="P14" s="74"/>
      <c r="Q14" s="74"/>
      <c r="R14" s="74">
        <v>1</v>
      </c>
      <c r="S14" s="74"/>
      <c r="T14" s="74"/>
    </row>
    <row r="15" spans="1:20" hidden="1" outlineLevel="1" x14ac:dyDescent="0.2">
      <c r="A15" s="61" t="s">
        <v>99</v>
      </c>
      <c r="B15" s="1" t="s">
        <v>98</v>
      </c>
      <c r="C15" s="74">
        <v>0.5</v>
      </c>
      <c r="D15" s="74"/>
      <c r="E15" s="74"/>
      <c r="F15" s="74">
        <v>0.5</v>
      </c>
      <c r="G15" s="74"/>
      <c r="H15" s="74"/>
      <c r="I15" s="74">
        <v>1</v>
      </c>
      <c r="J15" s="74"/>
      <c r="K15" s="74"/>
      <c r="L15" s="74">
        <v>1</v>
      </c>
      <c r="M15" s="74"/>
      <c r="N15" s="74"/>
      <c r="O15" s="74">
        <v>1</v>
      </c>
      <c r="P15" s="74"/>
      <c r="Q15" s="74"/>
      <c r="R15" s="74">
        <v>1</v>
      </c>
      <c r="S15" s="74"/>
      <c r="T15" s="74"/>
    </row>
    <row r="16" spans="1:20" hidden="1" outlineLevel="1" x14ac:dyDescent="0.2">
      <c r="A16" s="61" t="s">
        <v>100</v>
      </c>
      <c r="B16" s="1" t="s">
        <v>98</v>
      </c>
      <c r="C16" s="74">
        <v>0.5</v>
      </c>
      <c r="D16" s="74"/>
      <c r="E16" s="74"/>
      <c r="F16" s="74">
        <v>0.5</v>
      </c>
      <c r="G16" s="74"/>
      <c r="H16" s="74"/>
      <c r="I16" s="74">
        <v>1</v>
      </c>
      <c r="J16" s="74"/>
      <c r="K16" s="74"/>
      <c r="L16" s="74">
        <v>1</v>
      </c>
      <c r="M16" s="74"/>
      <c r="N16" s="74"/>
      <c r="O16" s="74">
        <v>1</v>
      </c>
      <c r="P16" s="74"/>
      <c r="Q16" s="74"/>
      <c r="R16" s="74">
        <v>1</v>
      </c>
      <c r="S16" s="74"/>
      <c r="T16" s="74"/>
    </row>
    <row r="17" spans="1:20" hidden="1" outlineLevel="1" x14ac:dyDescent="0.2">
      <c r="A17" s="61" t="s">
        <v>101</v>
      </c>
      <c r="B17" s="1" t="s">
        <v>98</v>
      </c>
      <c r="C17" s="74">
        <v>0.5</v>
      </c>
      <c r="D17" s="74"/>
      <c r="E17" s="74"/>
      <c r="F17" s="74">
        <v>0.5</v>
      </c>
      <c r="G17" s="74"/>
      <c r="H17" s="74"/>
      <c r="I17" s="74">
        <v>1</v>
      </c>
      <c r="J17" s="74"/>
      <c r="K17" s="74"/>
      <c r="L17" s="74">
        <v>1</v>
      </c>
      <c r="M17" s="74"/>
      <c r="N17" s="74"/>
      <c r="O17" s="74">
        <v>1</v>
      </c>
      <c r="P17" s="74"/>
      <c r="Q17" s="74"/>
      <c r="R17" s="74">
        <v>1</v>
      </c>
      <c r="S17" s="74"/>
      <c r="T17" s="74"/>
    </row>
    <row r="18" spans="1:20" hidden="1" outlineLevel="1" x14ac:dyDescent="0.2">
      <c r="A18" s="61" t="s">
        <v>102</v>
      </c>
      <c r="B18" s="1" t="s">
        <v>98</v>
      </c>
      <c r="C18" s="74">
        <v>0.5</v>
      </c>
      <c r="D18" s="74"/>
      <c r="E18" s="74"/>
      <c r="F18" s="74">
        <v>0.5</v>
      </c>
      <c r="G18" s="74"/>
      <c r="H18" s="74"/>
      <c r="I18" s="74">
        <v>1</v>
      </c>
      <c r="J18" s="74"/>
      <c r="K18" s="74"/>
      <c r="L18" s="74">
        <v>1</v>
      </c>
      <c r="M18" s="74"/>
      <c r="N18" s="74"/>
      <c r="O18" s="74">
        <v>1</v>
      </c>
      <c r="P18" s="74"/>
      <c r="Q18" s="74"/>
      <c r="R18" s="74">
        <v>1</v>
      </c>
      <c r="S18" s="74"/>
      <c r="T18" s="74"/>
    </row>
    <row r="19" spans="1:20" outlineLevel="1" x14ac:dyDescent="0.2">
      <c r="A19" s="61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</row>
    <row r="20" spans="1:20" outlineLevel="1" x14ac:dyDescent="0.2">
      <c r="A20" s="53" t="s">
        <v>113</v>
      </c>
      <c r="B20" s="53" t="s">
        <v>96</v>
      </c>
      <c r="C20" s="63" t="s">
        <v>110</v>
      </c>
      <c r="D20" s="63"/>
      <c r="E20" s="63"/>
      <c r="F20" s="63" t="s">
        <v>110</v>
      </c>
      <c r="G20" s="63"/>
      <c r="H20" s="63"/>
      <c r="I20" s="63" t="s">
        <v>110</v>
      </c>
      <c r="J20" s="63"/>
      <c r="K20" s="63"/>
      <c r="L20" s="63" t="s">
        <v>110</v>
      </c>
      <c r="M20" s="63"/>
      <c r="N20" s="63"/>
      <c r="O20" s="63" t="s">
        <v>110</v>
      </c>
      <c r="P20" s="63"/>
      <c r="Q20" s="63"/>
      <c r="R20" s="63" t="s">
        <v>110</v>
      </c>
      <c r="S20" s="63"/>
      <c r="T20" s="63"/>
    </row>
    <row r="21" spans="1:20" outlineLevel="1" x14ac:dyDescent="0.2">
      <c r="A21" s="61" t="s">
        <v>103</v>
      </c>
      <c r="B21" s="1" t="s">
        <v>104</v>
      </c>
      <c r="C21" s="74">
        <v>0.5</v>
      </c>
      <c r="D21" s="74"/>
      <c r="E21" s="74"/>
      <c r="F21" s="74">
        <v>0.4</v>
      </c>
      <c r="G21" s="74"/>
      <c r="H21" s="74"/>
      <c r="I21" s="74">
        <v>0.2</v>
      </c>
      <c r="J21" s="74"/>
      <c r="K21" s="74"/>
      <c r="L21" s="74">
        <v>0.2</v>
      </c>
      <c r="M21" s="74"/>
      <c r="N21" s="74"/>
      <c r="O21" s="74">
        <v>0.2</v>
      </c>
      <c r="P21" s="74"/>
      <c r="Q21" s="74"/>
      <c r="R21" s="74">
        <v>0.2</v>
      </c>
      <c r="S21" s="74"/>
      <c r="T21" s="74"/>
    </row>
    <row r="22" spans="1:20" outlineLevel="1" x14ac:dyDescent="0.2">
      <c r="A22" s="61" t="s">
        <v>105</v>
      </c>
      <c r="B22" s="1" t="s">
        <v>111</v>
      </c>
      <c r="C22" s="74">
        <v>0.5</v>
      </c>
      <c r="D22" s="74"/>
      <c r="E22" s="74"/>
      <c r="F22" s="74">
        <v>0.4</v>
      </c>
      <c r="G22" s="74"/>
      <c r="H22" s="74"/>
      <c r="I22" s="74">
        <v>0.2</v>
      </c>
      <c r="J22" s="74"/>
      <c r="K22" s="74"/>
      <c r="L22" s="74">
        <v>0.2</v>
      </c>
      <c r="M22" s="74"/>
      <c r="N22" s="74"/>
      <c r="O22" s="74">
        <v>0.2</v>
      </c>
      <c r="P22" s="74"/>
      <c r="Q22" s="74"/>
      <c r="R22" s="74">
        <v>0.2</v>
      </c>
      <c r="S22" s="74"/>
      <c r="T22" s="74"/>
    </row>
    <row r="23" spans="1:20" outlineLevel="1" x14ac:dyDescent="0.2">
      <c r="A23" s="61" t="s">
        <v>106</v>
      </c>
      <c r="B23" s="1" t="s">
        <v>107</v>
      </c>
      <c r="C23" s="74">
        <v>0.5</v>
      </c>
      <c r="D23" s="74"/>
      <c r="E23" s="74"/>
      <c r="F23" s="74">
        <v>0.4</v>
      </c>
      <c r="G23" s="74"/>
      <c r="H23" s="74"/>
      <c r="I23" s="74">
        <v>0.2</v>
      </c>
      <c r="J23" s="74"/>
      <c r="K23" s="74"/>
      <c r="L23" s="74">
        <v>0.2</v>
      </c>
      <c r="M23" s="74"/>
      <c r="N23" s="74"/>
      <c r="O23" s="74">
        <v>0.2</v>
      </c>
      <c r="P23" s="74"/>
      <c r="Q23" s="74"/>
      <c r="R23" s="74">
        <v>0.2</v>
      </c>
      <c r="S23" s="74"/>
      <c r="T23" s="74"/>
    </row>
    <row r="24" spans="1:20" outlineLevel="1" x14ac:dyDescent="0.2">
      <c r="A24" s="61" t="s">
        <v>102</v>
      </c>
      <c r="B24" s="1" t="s">
        <v>108</v>
      </c>
      <c r="C24" s="74">
        <v>0.5</v>
      </c>
      <c r="D24" s="74"/>
      <c r="E24" s="74"/>
      <c r="F24" s="74">
        <v>0.4</v>
      </c>
      <c r="G24" s="74"/>
      <c r="H24" s="74"/>
      <c r="I24" s="74">
        <v>0.2</v>
      </c>
      <c r="J24" s="74"/>
      <c r="K24" s="74"/>
      <c r="L24" s="74">
        <v>0.2</v>
      </c>
      <c r="M24" s="74"/>
      <c r="N24" s="74"/>
      <c r="O24" s="74">
        <v>0.2</v>
      </c>
      <c r="P24" s="74"/>
      <c r="Q24" s="74"/>
      <c r="R24" s="74">
        <v>0.2</v>
      </c>
      <c r="S24" s="74"/>
      <c r="T24" s="74"/>
    </row>
  </sheetData>
  <mergeCells count="77">
    <mergeCell ref="C19:T19"/>
    <mergeCell ref="R2:T2"/>
    <mergeCell ref="A1:A2"/>
    <mergeCell ref="B1:B2"/>
    <mergeCell ref="C1:N1"/>
    <mergeCell ref="O1:T1"/>
    <mergeCell ref="C2:E2"/>
    <mergeCell ref="F2:H2"/>
    <mergeCell ref="I2:K2"/>
    <mergeCell ref="L2:N2"/>
    <mergeCell ref="O2:Q2"/>
    <mergeCell ref="L22:N22"/>
    <mergeCell ref="O22:Q22"/>
    <mergeCell ref="R22:T22"/>
    <mergeCell ref="C21:E21"/>
    <mergeCell ref="F21:H21"/>
    <mergeCell ref="I21:K21"/>
    <mergeCell ref="L21:N21"/>
    <mergeCell ref="O21:Q21"/>
    <mergeCell ref="R21:T21"/>
    <mergeCell ref="R14:T14"/>
    <mergeCell ref="C24:E24"/>
    <mergeCell ref="F24:H24"/>
    <mergeCell ref="I24:K24"/>
    <mergeCell ref="L24:N24"/>
    <mergeCell ref="O24:Q24"/>
    <mergeCell ref="R24:T24"/>
    <mergeCell ref="C23:E23"/>
    <mergeCell ref="F23:H23"/>
    <mergeCell ref="I23:K23"/>
    <mergeCell ref="L23:N23"/>
    <mergeCell ref="O23:Q23"/>
    <mergeCell ref="R23:T23"/>
    <mergeCell ref="C22:E22"/>
    <mergeCell ref="F22:H22"/>
    <mergeCell ref="I22:K22"/>
    <mergeCell ref="C14:E14"/>
    <mergeCell ref="F14:H14"/>
    <mergeCell ref="I14:K14"/>
    <mergeCell ref="L14:N14"/>
    <mergeCell ref="O14:Q14"/>
    <mergeCell ref="L16:N16"/>
    <mergeCell ref="O16:Q16"/>
    <mergeCell ref="R16:T16"/>
    <mergeCell ref="C15:E15"/>
    <mergeCell ref="F15:H15"/>
    <mergeCell ref="I15:K15"/>
    <mergeCell ref="L15:N15"/>
    <mergeCell ref="O15:Q15"/>
    <mergeCell ref="R15:T15"/>
    <mergeCell ref="R13:T13"/>
    <mergeCell ref="C18:E18"/>
    <mergeCell ref="F18:H18"/>
    <mergeCell ref="I18:K18"/>
    <mergeCell ref="L18:N18"/>
    <mergeCell ref="O18:Q18"/>
    <mergeCell ref="R18:T18"/>
    <mergeCell ref="C17:E17"/>
    <mergeCell ref="F17:H17"/>
    <mergeCell ref="I17:K17"/>
    <mergeCell ref="L17:N17"/>
    <mergeCell ref="O17:Q17"/>
    <mergeCell ref="R17:T17"/>
    <mergeCell ref="C16:E16"/>
    <mergeCell ref="F16:H16"/>
    <mergeCell ref="I16:K16"/>
    <mergeCell ref="C13:E13"/>
    <mergeCell ref="F13:H13"/>
    <mergeCell ref="I13:K13"/>
    <mergeCell ref="L13:N13"/>
    <mergeCell ref="O13:Q13"/>
    <mergeCell ref="R20:T20"/>
    <mergeCell ref="C20:E20"/>
    <mergeCell ref="F20:H20"/>
    <mergeCell ref="I20:K20"/>
    <mergeCell ref="L20:N20"/>
    <mergeCell ref="O20:Q2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Schddule  baseline LOI-COD</vt:lpstr>
      <vt:lpstr>LoI-COD</vt:lpstr>
      <vt:lpstr>Development baseline</vt:lpstr>
      <vt:lpstr>Development baseline II slide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Lars Rijswijk</cp:lastModifiedBy>
  <cp:lastPrinted>2023-11-02T10:16:04Z</cp:lastPrinted>
  <dcterms:created xsi:type="dcterms:W3CDTF">2022-08-31T08:44:57Z</dcterms:created>
  <dcterms:modified xsi:type="dcterms:W3CDTF">2024-01-17T13:41:47Z</dcterms:modified>
</cp:coreProperties>
</file>