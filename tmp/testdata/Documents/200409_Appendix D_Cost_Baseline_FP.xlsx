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rsrijswijk/Box/AWECT/10 - BUSINESS CONDITIONS/10-2 Development/4. Establish PMO/99. Template/Output documents/"/>
    </mc:Choice>
  </mc:AlternateContent>
  <xr:revisionPtr revIDLastSave="0" documentId="13_ncr:1_{04AB4694-2737-C347-A03E-49814339C152}" xr6:coauthVersionLast="45" xr6:coauthVersionMax="45" xr10:uidLastSave="{00000000-0000-0000-0000-000000000000}"/>
  <bookViews>
    <workbookView xWindow="12800" yWindow="460" windowWidth="38400" windowHeight="21140" xr2:uid="{258CEDF3-A3A3-3D40-AAD9-8B92DA5CDB12}"/>
  </bookViews>
  <sheets>
    <sheet name="Project Budget" sheetId="1" r:id="rId1"/>
  </sheets>
  <calcPr calcId="191029" iterate="1" iterateCount="1000" iterateDelta="1E-4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3" i="1"/>
  <c r="I14" i="1"/>
  <c r="I12" i="1"/>
  <c r="I15" i="1"/>
  <c r="I16" i="1"/>
  <c r="I17" i="1"/>
  <c r="I18" i="1"/>
  <c r="I19" i="1"/>
  <c r="I20" i="1"/>
  <c r="I21" i="1"/>
  <c r="I29" i="1"/>
  <c r="H29" i="1"/>
  <c r="G29" i="1"/>
</calcChain>
</file>

<file path=xl/sharedStrings.xml><?xml version="1.0" encoding="utf-8"?>
<sst xmlns="http://schemas.openxmlformats.org/spreadsheetml/2006/main" count="84" uniqueCount="49">
  <si>
    <t>Activity</t>
  </si>
  <si>
    <t>Responsible</t>
  </si>
  <si>
    <t>01.Information Collection</t>
  </si>
  <si>
    <t>1.1 Pre-select suppliers for gather rely upon data</t>
  </si>
  <si>
    <t>Local representative</t>
  </si>
  <si>
    <t>1.2 Sign contracts with suppliers</t>
  </si>
  <si>
    <t>AWECT</t>
  </si>
  <si>
    <t>1.3 Waste analisys Study</t>
  </si>
  <si>
    <t>Local supplier</t>
  </si>
  <si>
    <t>1.3 Site analisys (soil analysis, climate, access, interfaces)</t>
  </si>
  <si>
    <t>1.3 Grid study</t>
  </si>
  <si>
    <t>1.3 Environmental analisys (land, retention times, emissions, social, health, aestethic)</t>
  </si>
  <si>
    <t>1.3 Well Water Study</t>
  </si>
  <si>
    <t>1.3 Waste Management Study</t>
  </si>
  <si>
    <t xml:space="preserve">1.4 Validate other inputs via desk study </t>
  </si>
  <si>
    <t>1.5 Validate economic assumptions (CAPEX, OPEX, Revenues)</t>
  </si>
  <si>
    <t>02. Create conceptual design (technical)</t>
  </si>
  <si>
    <t>2.1 Plant block diagram with the main mass flows.</t>
  </si>
  <si>
    <t>W&amp;G</t>
  </si>
  <si>
    <t>2.2 Basic overall functional process description.</t>
  </si>
  <si>
    <t>2.3 Plant Flow Diagrams of the process with all the main components (Grate and Boiler, Flue Gas Treatment, Water-Steam- Cycle)</t>
  </si>
  <si>
    <t>2.4 Design of the main components (boiler, turbine/generator, condenser and flue gas treatment) and model the water-steam cycle</t>
  </si>
  <si>
    <t>2.5 Elaboration of the logistics of waste delivery and dimension the tipping area, bunker and waste cranes</t>
  </si>
  <si>
    <t>2.6 A comprehensive report which includes all the results of the conceptual design</t>
  </si>
  <si>
    <t>03 Create Business Case</t>
  </si>
  <si>
    <t>3.1 Estimation based on prices for comparable components which we have obtained from other projects in Europe</t>
  </si>
  <si>
    <t>3.1 Local market prices for equipment deliveries, where possible with input and support from Local Partner for regional price comparisons</t>
  </si>
  <si>
    <t>Local Partner</t>
  </si>
  <si>
    <t xml:space="preserve">3.1 Estimation from Local market prices for civil works based on approximate bills of quantities; </t>
  </si>
  <si>
    <t>3.1 Create OPEX estimate (+/- 20%)</t>
  </si>
  <si>
    <t>3.4 Develop financial model, e.g. with input from conceptual design</t>
  </si>
  <si>
    <t>04. Create Feasibility Study report with all results</t>
  </si>
  <si>
    <t>3.5 Create a proposed plan and timeline for the long lead itemsnecessary for realizing a WtE plant</t>
  </si>
  <si>
    <t>AWECT + W&amp;G</t>
  </si>
  <si>
    <t>3.6 Make a final presentation to local partners, sponsors and if necessary the relevant Authorities</t>
  </si>
  <si>
    <t>Title:</t>
  </si>
  <si>
    <t>Hours</t>
  </si>
  <si>
    <t>€/hour</t>
  </si>
  <si>
    <t>Total</t>
  </si>
  <si>
    <t xml:space="preserve"> - </t>
  </si>
  <si>
    <t xml:space="preserve"> -</t>
  </si>
  <si>
    <t>Total Projected</t>
  </si>
  <si>
    <t>Actual Cost</t>
  </si>
  <si>
    <t>Projected X Actual</t>
  </si>
  <si>
    <t>01.Information Collection*</t>
  </si>
  <si>
    <t>* Price based on input from Indian market</t>
  </si>
  <si>
    <t>FS - Cost Baseline</t>
  </si>
  <si>
    <t>Cost Baseline</t>
  </si>
  <si>
    <t>WBS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</si>
</sst>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£&quot;* #,##0.00_);_(&quot;£&quot;* \(#,##0.00\);_(&quot;£&quot;* &quot;-&quot;??_);_(@_)"/>
    <numFmt numFmtId="165" formatCode="[$€-2]\ #,##0;[Red]\-[$€-2]\ #,##0"/>
    <numFmt numFmtId="166" formatCode="_([$€-2]\ * #,##0.00_);_([$€-2]\ * \(#,##0.00\);_([$€-2]\ * &quot;-&quot;??_);_(@_)"/>
    <numFmt numFmtId="167" formatCode="_ [$€-2]\ * #,##0.00_ ;_ [$€-2]\ * \-#,##0.00_ ;_ [$€-2]\ * &quot;-&quot;??_ ;_ @_ 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Verdana"/>
      <family val="2"/>
    </font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i/>
      <sz val="14"/>
      <color rgb="FF000000"/>
      <name val="Verdana"/>
      <family val="2"/>
    </font>
    <font>
      <sz val="14"/>
      <color theme="1"/>
      <name val="Verdana"/>
      <family val="2"/>
    </font>
    <font>
      <sz val="14"/>
      <color rgb="FF000000"/>
      <name val="Verdana"/>
      <family val="2"/>
    </font>
    <font>
      <b/>
      <sz val="14"/>
      <color theme="0"/>
      <name val="Verdana"/>
      <family val="2"/>
    </font>
    <font>
      <b/>
      <sz val="10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theme="8" tint="-0.249977111117893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48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165" fontId="11" fillId="0" borderId="13" xfId="0" applyNumberFormat="1" applyFont="1" applyBorder="1" applyAlignment="1">
      <alignment horizontal="center" vertical="center"/>
    </xf>
    <xf numFmtId="0" fontId="4" fillId="5" borderId="11" xfId="2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4" fontId="6" fillId="5" borderId="1" xfId="0" applyNumberFormat="1" applyFont="1" applyFill="1" applyBorder="1" applyAlignment="1">
      <alignment horizontal="center" vertical="center"/>
    </xf>
    <xf numFmtId="0" fontId="0" fillId="5" borderId="13" xfId="0" applyFill="1" applyBorder="1"/>
    <xf numFmtId="0" fontId="5" fillId="5" borderId="1" xfId="0" applyFont="1" applyFill="1" applyBorder="1" applyAlignment="1">
      <alignment horizontal="left" vertical="center" wrapText="1"/>
    </xf>
    <xf numFmtId="0" fontId="4" fillId="5" borderId="9" xfId="2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14" fontId="6" fillId="5" borderId="10" xfId="0" applyNumberFormat="1" applyFont="1" applyFill="1" applyBorder="1" applyAlignment="1">
      <alignment horizontal="center" vertical="center"/>
    </xf>
    <xf numFmtId="0" fontId="0" fillId="5" borderId="12" xfId="0" applyFill="1" applyBorder="1"/>
    <xf numFmtId="165" fontId="11" fillId="6" borderId="13" xfId="0" applyNumberFormat="1" applyFont="1" applyFill="1" applyBorder="1" applyAlignment="1">
      <alignment horizontal="center" vertical="center"/>
    </xf>
    <xf numFmtId="0" fontId="0" fillId="6" borderId="0" xfId="0" applyFill="1"/>
    <xf numFmtId="0" fontId="4" fillId="5" borderId="18" xfId="2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14" fontId="6" fillId="5" borderId="19" xfId="0" applyNumberFormat="1" applyFont="1" applyFill="1" applyBorder="1" applyAlignment="1">
      <alignment horizontal="center" vertical="center"/>
    </xf>
    <xf numFmtId="0" fontId="0" fillId="5" borderId="14" xfId="0" applyFill="1" applyBorder="1"/>
    <xf numFmtId="165" fontId="11" fillId="6" borderId="22" xfId="0" applyNumberFormat="1" applyFont="1" applyFill="1" applyBorder="1" applyAlignment="1">
      <alignment horizontal="center"/>
    </xf>
    <xf numFmtId="165" fontId="11" fillId="6" borderId="17" xfId="0" applyNumberFormat="1" applyFont="1" applyFill="1" applyBorder="1" applyAlignment="1">
      <alignment horizontal="center"/>
    </xf>
    <xf numFmtId="165" fontId="11" fillId="5" borderId="13" xfId="0" applyNumberFormat="1" applyFont="1" applyFill="1" applyBorder="1" applyAlignment="1">
      <alignment horizontal="center" vertical="center"/>
    </xf>
    <xf numFmtId="165" fontId="11" fillId="5" borderId="14" xfId="0" applyNumberFormat="1" applyFont="1" applyFill="1" applyBorder="1" applyAlignment="1">
      <alignment horizontal="center" vertical="center"/>
    </xf>
    <xf numFmtId="165" fontId="11" fillId="5" borderId="16" xfId="0" applyNumberFormat="1" applyFont="1" applyFill="1" applyBorder="1" applyAlignment="1">
      <alignment horizontal="center" vertical="center"/>
    </xf>
    <xf numFmtId="166" fontId="11" fillId="5" borderId="14" xfId="1" applyNumberFormat="1" applyFont="1" applyFill="1" applyBorder="1" applyAlignment="1">
      <alignment horizontal="center" vertical="center"/>
    </xf>
    <xf numFmtId="166" fontId="11" fillId="5" borderId="15" xfId="1" applyNumberFormat="1" applyFont="1" applyFill="1" applyBorder="1" applyAlignment="1">
      <alignment horizontal="center" vertical="center"/>
    </xf>
    <xf numFmtId="166" fontId="11" fillId="5" borderId="16" xfId="1" applyNumberFormat="1" applyFont="1" applyFill="1" applyBorder="1" applyAlignment="1">
      <alignment horizontal="center" vertical="center"/>
    </xf>
    <xf numFmtId="166" fontId="11" fillId="0" borderId="14" xfId="1" applyNumberFormat="1" applyFont="1" applyBorder="1" applyAlignment="1">
      <alignment horizontal="center" vertical="center"/>
    </xf>
    <xf numFmtId="166" fontId="11" fillId="0" borderId="15" xfId="1" applyNumberFormat="1" applyFont="1" applyBorder="1" applyAlignment="1">
      <alignment horizontal="center" vertical="center"/>
    </xf>
    <xf numFmtId="166" fontId="11" fillId="0" borderId="16" xfId="1" applyNumberFormat="1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9" fillId="3" borderId="2" xfId="0" quotePrefix="1" applyFont="1" applyFill="1" applyBorder="1" applyAlignment="1">
      <alignment horizontal="left"/>
    </xf>
    <xf numFmtId="0" fontId="9" fillId="3" borderId="3" xfId="0" quotePrefix="1" applyFont="1" applyFill="1" applyBorder="1" applyAlignment="1">
      <alignment horizontal="left"/>
    </xf>
    <xf numFmtId="0" fontId="9" fillId="3" borderId="4" xfId="0" quotePrefix="1" applyFont="1" applyFill="1" applyBorder="1" applyAlignment="1">
      <alignment horizontal="left"/>
    </xf>
    <xf numFmtId="0" fontId="10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0" fontId="12" fillId="0" borderId="0" xfId="2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right"/>
    </xf>
    <xf numFmtId="0" fontId="4" fillId="6" borderId="21" xfId="0" applyFont="1" applyFill="1" applyBorder="1" applyAlignment="1">
      <alignment horizontal="right"/>
    </xf>
    <xf numFmtId="167" fontId="10" fillId="6" borderId="17" xfId="1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2 3" xfId="2" xr:uid="{E09D49D4-2C04-C24A-83B5-82C31BF83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307431</xdr:colOff>
      <xdr:row>2</xdr:row>
      <xdr:rowOff>67732</xdr:rowOff>
    </xdr:from>
    <xdr:to>
      <xdr:col>6</xdr:col>
      <xdr:colOff>1467595</xdr:colOff>
      <xdr:row>3</xdr:row>
      <xdr:rowOff>440266</xdr:rowOff>
    </xdr:to>
    <xdr:pic>
      <xdr:nvPicPr>
        <xdr:cNvPr id="4" name="Afbeelding 5">
          <a:extLst>
            <a:ext uri="{FF2B5EF4-FFF2-40B4-BE49-F238E27FC236}">
              <a16:creationId xmlns:a16="http://schemas.microsoft.com/office/drawing/2014/main" id="{C4E0689D-647A-EB48-BFAC-B60B8063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5298" y="507999"/>
          <a:ext cx="1160164" cy="57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A952-B29F-8540-85C1-E87AD828456D}">
  <dimension ref="B2:I30"/>
  <sheetViews>
    <sheetView showGridLines="0" tabSelected="1" zoomScaleNormal="100" workbookViewId="0">
      <selection activeCell="C40" sqref="C40"/>
    </sheetView>
  </sheetViews>
  <sheetFormatPr baseColWidth="10" defaultRowHeight="16" x14ac:dyDescent="0.2"/>
  <cols>
    <col min="2" max="2" width="67.33203125" customWidth="1"/>
    <col min="3" max="3" width="87" customWidth="1"/>
    <col min="4" max="4" width="23.5" customWidth="1"/>
    <col min="5" max="6" width="15.5" hidden="1" customWidth="1"/>
    <col min="7" max="7" width="21.6640625" customWidth="1"/>
    <col min="8" max="8" width="16.6640625" hidden="1" customWidth="1"/>
    <col min="9" max="9" width="26.6640625" hidden="1" customWidth="1"/>
  </cols>
  <sheetData>
    <row r="2" spans="2:9" ht="19" thickBot="1" x14ac:dyDescent="0.25">
      <c r="B2" s="34" t="s">
        <v>47</v>
      </c>
      <c r="C2" s="35"/>
      <c r="D2" s="35"/>
      <c r="E2" s="35"/>
      <c r="F2" s="35"/>
      <c r="G2" s="35"/>
    </row>
    <row r="3" spans="2:9" x14ac:dyDescent="0.2">
      <c r="B3" s="36" t="s">
        <v>35</v>
      </c>
      <c r="C3" s="37"/>
      <c r="D3" s="37"/>
      <c r="E3" s="37"/>
      <c r="F3" s="37"/>
      <c r="G3" s="38"/>
    </row>
    <row r="4" spans="2:9" ht="36" customHeight="1" thickBot="1" x14ac:dyDescent="0.25">
      <c r="B4" s="39" t="s">
        <v>46</v>
      </c>
      <c r="C4" s="40"/>
      <c r="D4" s="40"/>
      <c r="E4" s="40"/>
      <c r="F4" s="40"/>
      <c r="G4" s="41"/>
    </row>
    <row r="5" spans="2:9" ht="20" x14ac:dyDescent="0.2">
      <c r="B5" s="3" t="s">
        <v>48</v>
      </c>
      <c r="C5" s="3" t="s">
        <v>0</v>
      </c>
      <c r="D5" s="4" t="s">
        <v>1</v>
      </c>
      <c r="E5" s="5" t="s">
        <v>36</v>
      </c>
      <c r="F5" s="5" t="s">
        <v>37</v>
      </c>
      <c r="G5" s="5" t="s">
        <v>41</v>
      </c>
      <c r="H5" s="5" t="s">
        <v>42</v>
      </c>
      <c r="I5" s="5" t="s">
        <v>43</v>
      </c>
    </row>
    <row r="6" spans="2:9" ht="38" hidden="1" x14ac:dyDescent="0.2">
      <c r="B6" s="13" t="s">
        <v>2</v>
      </c>
      <c r="C6" s="14" t="s">
        <v>3</v>
      </c>
      <c r="D6" s="14" t="s">
        <v>4</v>
      </c>
      <c r="E6" s="15"/>
      <c r="F6" s="15"/>
      <c r="G6" s="16"/>
    </row>
    <row r="7" spans="2:9" ht="19" hidden="1" x14ac:dyDescent="0.2">
      <c r="B7" s="8" t="s">
        <v>2</v>
      </c>
      <c r="C7" s="12" t="s">
        <v>5</v>
      </c>
      <c r="D7" s="12" t="s">
        <v>6</v>
      </c>
      <c r="E7" s="10"/>
      <c r="F7" s="10"/>
      <c r="G7" s="11"/>
    </row>
    <row r="8" spans="2:9" ht="19" x14ac:dyDescent="0.2">
      <c r="B8" s="6" t="s">
        <v>44</v>
      </c>
      <c r="C8" s="1" t="s">
        <v>7</v>
      </c>
      <c r="D8" s="1" t="s">
        <v>8</v>
      </c>
      <c r="E8" s="2"/>
      <c r="F8" s="2"/>
      <c r="G8" s="7">
        <v>8500</v>
      </c>
      <c r="H8" s="25"/>
      <c r="I8" s="17">
        <f>G8-H8</f>
        <v>8500</v>
      </c>
    </row>
    <row r="9" spans="2:9" ht="19" x14ac:dyDescent="0.2">
      <c r="B9" s="6" t="s">
        <v>44</v>
      </c>
      <c r="C9" s="1" t="s">
        <v>9</v>
      </c>
      <c r="D9" s="1" t="s">
        <v>8</v>
      </c>
      <c r="E9" s="2"/>
      <c r="F9" s="2"/>
      <c r="G9" s="7">
        <v>18050</v>
      </c>
      <c r="H9" s="25"/>
      <c r="I9" s="17">
        <f t="shared" ref="I9:I21" si="0">G9-H9</f>
        <v>18050</v>
      </c>
    </row>
    <row r="10" spans="2:9" ht="19" x14ac:dyDescent="0.2">
      <c r="B10" s="6" t="s">
        <v>44</v>
      </c>
      <c r="C10" s="1" t="s">
        <v>10</v>
      </c>
      <c r="D10" s="1" t="s">
        <v>8</v>
      </c>
      <c r="E10" s="2"/>
      <c r="F10" s="2"/>
      <c r="G10" s="7">
        <v>30050</v>
      </c>
      <c r="H10" s="25"/>
      <c r="I10" s="17">
        <f t="shared" si="0"/>
        <v>30050</v>
      </c>
    </row>
    <row r="11" spans="2:9" ht="38" x14ac:dyDescent="0.2">
      <c r="B11" s="6" t="s">
        <v>44</v>
      </c>
      <c r="C11" s="1" t="s">
        <v>11</v>
      </c>
      <c r="D11" s="1" t="s">
        <v>8</v>
      </c>
      <c r="E11" s="2" t="s">
        <v>39</v>
      </c>
      <c r="F11" s="2" t="s">
        <v>40</v>
      </c>
      <c r="G11" s="42">
        <v>42100</v>
      </c>
      <c r="H11" s="26"/>
      <c r="I11" s="17">
        <f t="shared" si="0"/>
        <v>42100</v>
      </c>
    </row>
    <row r="12" spans="2:9" ht="19" x14ac:dyDescent="0.2">
      <c r="B12" s="6" t="s">
        <v>44</v>
      </c>
      <c r="C12" s="1" t="s">
        <v>12</v>
      </c>
      <c r="D12" s="1" t="s">
        <v>8</v>
      </c>
      <c r="E12" s="2"/>
      <c r="F12" s="2"/>
      <c r="G12" s="43"/>
      <c r="H12" s="27"/>
      <c r="I12" s="17">
        <f t="shared" si="0"/>
        <v>0</v>
      </c>
    </row>
    <row r="13" spans="2:9" ht="19" x14ac:dyDescent="0.2">
      <c r="B13" s="6" t="s">
        <v>44</v>
      </c>
      <c r="C13" s="1" t="s">
        <v>13</v>
      </c>
      <c r="D13" s="1" t="s">
        <v>8</v>
      </c>
      <c r="E13" s="2"/>
      <c r="F13" s="2"/>
      <c r="G13" s="7">
        <v>60000</v>
      </c>
      <c r="H13" s="25"/>
      <c r="I13" s="17">
        <f t="shared" si="0"/>
        <v>60000</v>
      </c>
    </row>
    <row r="14" spans="2:9" ht="19" x14ac:dyDescent="0.2">
      <c r="B14" s="6" t="s">
        <v>2</v>
      </c>
      <c r="C14" s="1" t="s">
        <v>14</v>
      </c>
      <c r="D14" s="1" t="s">
        <v>6</v>
      </c>
      <c r="E14" s="2"/>
      <c r="F14" s="2"/>
      <c r="G14" s="31">
        <v>320000</v>
      </c>
      <c r="H14" s="28"/>
      <c r="I14" s="17">
        <f t="shared" si="0"/>
        <v>320000</v>
      </c>
    </row>
    <row r="15" spans="2:9" ht="38" x14ac:dyDescent="0.2">
      <c r="B15" s="6" t="s">
        <v>2</v>
      </c>
      <c r="C15" s="1" t="s">
        <v>15</v>
      </c>
      <c r="D15" s="1" t="s">
        <v>4</v>
      </c>
      <c r="E15" s="2"/>
      <c r="F15" s="2"/>
      <c r="G15" s="32"/>
      <c r="H15" s="29"/>
      <c r="I15" s="17">
        <f t="shared" si="0"/>
        <v>0</v>
      </c>
    </row>
    <row r="16" spans="2:9" ht="38" x14ac:dyDescent="0.2">
      <c r="B16" s="6" t="s">
        <v>16</v>
      </c>
      <c r="C16" s="1" t="s">
        <v>17</v>
      </c>
      <c r="D16" s="1" t="s">
        <v>18</v>
      </c>
      <c r="E16" s="2"/>
      <c r="F16" s="2"/>
      <c r="G16" s="32"/>
      <c r="H16" s="29"/>
      <c r="I16" s="17">
        <f t="shared" si="0"/>
        <v>0</v>
      </c>
    </row>
    <row r="17" spans="2:9" ht="38" x14ac:dyDescent="0.2">
      <c r="B17" s="6" t="s">
        <v>16</v>
      </c>
      <c r="C17" s="1" t="s">
        <v>19</v>
      </c>
      <c r="D17" s="1" t="s">
        <v>18</v>
      </c>
      <c r="E17" s="2"/>
      <c r="F17" s="2"/>
      <c r="G17" s="32"/>
      <c r="H17" s="29"/>
      <c r="I17" s="17">
        <f t="shared" si="0"/>
        <v>0</v>
      </c>
    </row>
    <row r="18" spans="2:9" ht="38" x14ac:dyDescent="0.2">
      <c r="B18" s="6" t="s">
        <v>16</v>
      </c>
      <c r="C18" s="1" t="s">
        <v>20</v>
      </c>
      <c r="D18" s="1" t="s">
        <v>18</v>
      </c>
      <c r="E18" s="2"/>
      <c r="F18" s="2"/>
      <c r="G18" s="32"/>
      <c r="H18" s="29"/>
      <c r="I18" s="17">
        <f t="shared" si="0"/>
        <v>0</v>
      </c>
    </row>
    <row r="19" spans="2:9" ht="38" x14ac:dyDescent="0.2">
      <c r="B19" s="6" t="s">
        <v>16</v>
      </c>
      <c r="C19" s="1" t="s">
        <v>21</v>
      </c>
      <c r="D19" s="1" t="s">
        <v>18</v>
      </c>
      <c r="E19" s="2"/>
      <c r="F19" s="2"/>
      <c r="G19" s="32"/>
      <c r="H19" s="29"/>
      <c r="I19" s="17">
        <f t="shared" si="0"/>
        <v>0</v>
      </c>
    </row>
    <row r="20" spans="2:9" ht="38" x14ac:dyDescent="0.2">
      <c r="B20" s="6" t="s">
        <v>16</v>
      </c>
      <c r="C20" s="1" t="s">
        <v>22</v>
      </c>
      <c r="D20" s="1" t="s">
        <v>18</v>
      </c>
      <c r="E20" s="2"/>
      <c r="F20" s="2"/>
      <c r="G20" s="32"/>
      <c r="H20" s="29"/>
      <c r="I20" s="17">
        <f t="shared" si="0"/>
        <v>0</v>
      </c>
    </row>
    <row r="21" spans="2:9" ht="39" thickBot="1" x14ac:dyDescent="0.25">
      <c r="B21" s="6" t="s">
        <v>16</v>
      </c>
      <c r="C21" s="1" t="s">
        <v>23</v>
      </c>
      <c r="D21" s="1" t="s">
        <v>18</v>
      </c>
      <c r="E21" s="2"/>
      <c r="F21" s="2"/>
      <c r="G21" s="33"/>
      <c r="H21" s="30"/>
      <c r="I21" s="17">
        <f t="shared" si="0"/>
        <v>0</v>
      </c>
    </row>
    <row r="22" spans="2:9" ht="38" hidden="1" x14ac:dyDescent="0.2">
      <c r="B22" s="8" t="s">
        <v>24</v>
      </c>
      <c r="C22" s="9" t="s">
        <v>25</v>
      </c>
      <c r="D22" s="9" t="s">
        <v>6</v>
      </c>
      <c r="E22" s="10"/>
      <c r="F22" s="10"/>
      <c r="G22" s="11"/>
      <c r="I22" s="18"/>
    </row>
    <row r="23" spans="2:9" ht="38" hidden="1" x14ac:dyDescent="0.2">
      <c r="B23" s="8" t="s">
        <v>24</v>
      </c>
      <c r="C23" s="12" t="s">
        <v>26</v>
      </c>
      <c r="D23" s="12" t="s">
        <v>27</v>
      </c>
      <c r="E23" s="10"/>
      <c r="F23" s="10"/>
      <c r="G23" s="11"/>
      <c r="I23" s="18"/>
    </row>
    <row r="24" spans="2:9" ht="38" hidden="1" x14ac:dyDescent="0.2">
      <c r="B24" s="8" t="s">
        <v>24</v>
      </c>
      <c r="C24" s="12" t="s">
        <v>28</v>
      </c>
      <c r="D24" s="12" t="s">
        <v>27</v>
      </c>
      <c r="E24" s="10"/>
      <c r="F24" s="10"/>
      <c r="G24" s="11"/>
      <c r="I24" s="18"/>
    </row>
    <row r="25" spans="2:9" ht="19" hidden="1" x14ac:dyDescent="0.2">
      <c r="B25" s="8" t="s">
        <v>24</v>
      </c>
      <c r="C25" s="12" t="s">
        <v>29</v>
      </c>
      <c r="D25" s="12" t="s">
        <v>6</v>
      </c>
      <c r="E25" s="10"/>
      <c r="F25" s="10"/>
      <c r="G25" s="11"/>
      <c r="I25" s="18"/>
    </row>
    <row r="26" spans="2:9" ht="19" hidden="1" x14ac:dyDescent="0.2">
      <c r="B26" s="8" t="s">
        <v>24</v>
      </c>
      <c r="C26" s="12" t="s">
        <v>30</v>
      </c>
      <c r="D26" s="12" t="s">
        <v>6</v>
      </c>
      <c r="E26" s="10"/>
      <c r="F26" s="10"/>
      <c r="G26" s="11"/>
      <c r="I26" s="18"/>
    </row>
    <row r="27" spans="2:9" ht="38" hidden="1" x14ac:dyDescent="0.2">
      <c r="B27" s="8" t="s">
        <v>31</v>
      </c>
      <c r="C27" s="9" t="s">
        <v>32</v>
      </c>
      <c r="D27" s="12" t="s">
        <v>33</v>
      </c>
      <c r="E27" s="10"/>
      <c r="F27" s="10"/>
      <c r="G27" s="11"/>
      <c r="I27" s="18"/>
    </row>
    <row r="28" spans="2:9" ht="39" hidden="1" thickBot="1" x14ac:dyDescent="0.25">
      <c r="B28" s="19" t="s">
        <v>31</v>
      </c>
      <c r="C28" s="20" t="s">
        <v>34</v>
      </c>
      <c r="D28" s="20" t="s">
        <v>6</v>
      </c>
      <c r="E28" s="21"/>
      <c r="F28" s="21"/>
      <c r="G28" s="22"/>
      <c r="I28" s="18"/>
    </row>
    <row r="29" spans="2:9" ht="19" thickBot="1" x14ac:dyDescent="0.25">
      <c r="B29" s="45" t="s">
        <v>38</v>
      </c>
      <c r="C29" s="46"/>
      <c r="D29" s="46"/>
      <c r="E29" s="46"/>
      <c r="F29" s="46"/>
      <c r="G29" s="47">
        <f>SUM(G8:G21)</f>
        <v>478700</v>
      </c>
      <c r="H29" s="24">
        <f>SUM(H8:H21)</f>
        <v>0</v>
      </c>
      <c r="I29" s="23">
        <f>SUM(I8:I21)</f>
        <v>478700</v>
      </c>
    </row>
    <row r="30" spans="2:9" x14ac:dyDescent="0.2">
      <c r="B30" s="44" t="s">
        <v>45</v>
      </c>
    </row>
  </sheetData>
  <mergeCells count="8">
    <mergeCell ref="B29:F29"/>
    <mergeCell ref="H11:H12"/>
    <mergeCell ref="H14:H21"/>
    <mergeCell ref="G14:G21"/>
    <mergeCell ref="B2:G2"/>
    <mergeCell ref="B3:G3"/>
    <mergeCell ref="B4:G4"/>
    <mergeCell ref="G11: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2020-04-09T11:09:45Z</dcterms:created>
  <dcterms:modified xsi:type="dcterms:W3CDTF">2020-05-26T14:37:38Z</dcterms:modified>
</cp:coreProperties>
</file>